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<sst xmlns="http://schemas.openxmlformats.org/spreadsheetml/2006/main" count="1518" uniqueCount="760">
  <si>
    <t>OrderId</t>
  </si>
  <si>
    <t>ItemCode</t>
  </si>
  <si>
    <t>SKU</t>
  </si>
  <si>
    <t>ProductSKU</t>
  </si>
  <si>
    <t>VariantName</t>
  </si>
  <si>
    <t>Domain</t>
  </si>
  <si>
    <t>Quantity</t>
  </si>
  <si>
    <t>StoreName</t>
  </si>
  <si>
    <t>ItemStatus</t>
  </si>
  <si>
    <t>LastUpdatedAt</t>
  </si>
  <si>
    <t>PaidAt</t>
  </si>
  <si>
    <t>LastUpdatedDateAt</t>
  </si>
  <si>
    <t>PaidDateAt</t>
  </si>
  <si>
    <t>LastUpdatedTimeAt</t>
  </si>
  <si>
    <t>PaidTimeAt</t>
  </si>
  <si>
    <t>FulfilledAt</t>
  </si>
  <si>
    <t>TrackingNumber</t>
  </si>
  <si>
    <t>Carrier</t>
  </si>
  <si>
    <t>UnitPrice</t>
  </si>
  <si>
    <t>ShippingFee</t>
  </si>
  <si>
    <t>TotalPrice</t>
  </si>
  <si>
    <t>BuyerName</t>
  </si>
  <si>
    <t>BuyerEmail</t>
  </si>
  <si>
    <t>BuyerAddress1</t>
  </si>
  <si>
    <t>BuyerAddress2</t>
  </si>
  <si>
    <t>BuyerPhone</t>
  </si>
  <si>
    <t>BuyerCity</t>
  </si>
  <si>
    <t>BuyerProvince</t>
  </si>
  <si>
    <t>BuyerCountry</t>
  </si>
  <si>
    <t>BuyerZip</t>
  </si>
  <si>
    <t>BuyerCountryCode</t>
  </si>
  <si>
    <t>BuyerProvinceCode</t>
  </si>
  <si>
    <t>SellerEmail</t>
  </si>
  <si>
    <t>TransactionId</t>
  </si>
  <si>
    <t>Profit</t>
  </si>
  <si>
    <t>TaxID</t>
  </si>
  <si>
    <t>PlatformProductSKU</t>
  </si>
  <si>
    <t>Group</t>
  </si>
  <si>
    <t>GroupQuantity</t>
  </si>
  <si>
    <t>SupplierCost</t>
  </si>
  <si>
    <t>PaymentGatewayId</t>
  </si>
  <si>
    <t>PaymentGatewayName</t>
  </si>
  <si>
    <t>GatewayType</t>
  </si>
  <si>
    <t>FulfillmentCost</t>
  </si>
  <si>
    <t>AdditionalCost</t>
  </si>
  <si>
    <t>TaxFee</t>
  </si>
  <si>
    <t>JFSMZ-191125-R1F4R</t>
  </si>
  <si>
    <t>JFSMZ-191125-R1F4R-1</t>
  </si>
  <si>
    <t>tiqXh8YL</t>
  </si>
  <si>
    <t>B000011466</t>
  </si>
  <si>
    <t>Simulation Highland Cow Plush Animal Doll Soft Stuffed Highland Cow Plush Toy Kawaii Kids Baby Gifts Toy (Brown/Buy 1)</t>
  </si>
  <si>
    <t>https://nopehope.com/products/cankook</t>
  </si>
  <si>
    <t>Test FFT</t>
  </si>
  <si>
    <t>UNFULFILLED</t>
  </si>
  <si>
    <t>ORDER_TEST John Smith</t>
  </si>
  <si>
    <t>adriantruong1244@gmail.com</t>
  </si>
  <si>
    <t>3130 Kerry Way</t>
  </si>
  <si>
    <t>Los Angeles</t>
  </si>
  <si>
    <t>CA</t>
  </si>
  <si>
    <t>US</t>
  </si>
  <si>
    <t>bettamax001@gmail.com</t>
  </si>
  <si>
    <t>2VA85622L3022860M</t>
  </si>
  <si>
    <t>ZeniroxPay Inc.</t>
  </si>
  <si>
    <t>PAYPAL</t>
  </si>
  <si>
    <t>RP1RH-211125-4DTTX</t>
  </si>
  <si>
    <t>RP1RH-211125-4DTTX-1</t>
  </si>
  <si>
    <t>S3RXTkMW</t>
  </si>
  <si>
    <t>LSuJRVpD</t>
  </si>
  <si>
    <t>Extra Fee $19 ($19)</t>
  </si>
  <si>
    <t>https://extrafee.ontariocorps.com/products/extra-fee-19usd</t>
  </si>
  <si>
    <t>Extra Fee</t>
  </si>
  <si>
    <t>FULFILLED</t>
  </si>
  <si>
    <t>SDH0077671599</t>
  </si>
  <si>
    <t>SDH</t>
  </si>
  <si>
    <t>James Larsen</t>
  </si>
  <si>
    <t>jlarsen1@centurytel.net</t>
  </si>
  <si>
    <t>4241 Nicolet Dr.</t>
  </si>
  <si>
    <t>Green Bay</t>
  </si>
  <si>
    <t>WI</t>
  </si>
  <si>
    <t>vallary.sp@gmail.com</t>
  </si>
  <si>
    <t>7RN97284TV160832L</t>
  </si>
  <si>
    <t>RESEND</t>
  </si>
  <si>
    <t>XFJKR-211125-JXAT9</t>
  </si>
  <si>
    <t>XFJKR-211125-JXAT9-1</t>
  </si>
  <si>
    <t>6l5f4lpH</t>
  </si>
  <si>
    <t>QmJIxX80</t>
  </si>
  <si>
    <t>Mini 4G Wireless Wifi Camera (Camera Only/Buy 1 Save 50% 🔥)</t>
  </si>
  <si>
    <t>https://mall.quyocean.com/products/camera</t>
  </si>
  <si>
    <t>PTI</t>
  </si>
  <si>
    <t>ORDER_TEST Nguyễn Việt</t>
  </si>
  <si>
    <t>0388661309viet@gmail.com</t>
  </si>
  <si>
    <t>Xóm Bắc</t>
  </si>
  <si>
    <t>Xã Vật Lại</t>
  </si>
  <si>
    <t>Hà Nội</t>
  </si>
  <si>
    <t>VN</t>
  </si>
  <si>
    <t>phamtien27092001@gmail.com</t>
  </si>
  <si>
    <t>2KW610513S345692G</t>
  </si>
  <si>
    <t>B000005614</t>
  </si>
  <si>
    <t>RP1RH-211125-74CK8</t>
  </si>
  <si>
    <t>RP1RH-211125-74CK8-1</t>
  </si>
  <si>
    <t>SDH0077405931</t>
  </si>
  <si>
    <t>christopher meredyk</t>
  </si>
  <si>
    <t>cmeredyk@hotmail.com</t>
  </si>
  <si>
    <t>9416 MUELLER ST</t>
  </si>
  <si>
    <t>TAYLOR</t>
  </si>
  <si>
    <t>MI</t>
  </si>
  <si>
    <t>3T171395UX913972M</t>
  </si>
  <si>
    <t>RF6A2-231125-5D4HD</t>
  </si>
  <si>
    <t>RF6A2-231125-5D4HD-1</t>
  </si>
  <si>
    <t>KUDOCqg8</t>
  </si>
  <si>
    <t>B000003784</t>
  </si>
  <si>
    <t>🔥Best Seller-Last Day Sale 60% OFF🔥Plus Size Women's Versatile Low Top Fashion Sneakers (Blue/5)</t>
  </si>
  <si>
    <t>https://heizune.com/products/versatile</t>
  </si>
  <si>
    <t>TQZ</t>
  </si>
  <si>
    <t>ORDER_TEST Yil Bka</t>
  </si>
  <si>
    <t>kieuthank1@gmail.com</t>
  </si>
  <si>
    <t>60 Clifford Street</t>
  </si>
  <si>
    <t>Biddeford</t>
  </si>
  <si>
    <t>datnv.hr@gmail.com</t>
  </si>
  <si>
    <t>0T7565742P136822P</t>
  </si>
  <si>
    <t>RP1RH-241125-6U45W</t>
  </si>
  <si>
    <t>RP1RH-241125-6U45W-1</t>
  </si>
  <si>
    <t>SDH0071542946</t>
  </si>
  <si>
    <t>Janelle Gugudan</t>
  </si>
  <si>
    <t>jgugudan@gmail.com</t>
  </si>
  <si>
    <t>98-1911 Kaahumanu St #N</t>
  </si>
  <si>
    <t>Aiea</t>
  </si>
  <si>
    <t>HI</t>
  </si>
  <si>
    <t>4PM2479873160950A</t>
  </si>
  <si>
    <t>RP1RH-251125-WX0YU</t>
  </si>
  <si>
    <t>RP1RH-251125-WX0YU-1</t>
  </si>
  <si>
    <t>O7KIhzKR</t>
  </si>
  <si>
    <t>kN4m7BUa</t>
  </si>
  <si>
    <t>Extra Fee $20 ($20)</t>
  </si>
  <si>
    <t>https://extrafee.ontariocorps.com/products/extra-fee-20usd</t>
  </si>
  <si>
    <t>SDH0078009508</t>
  </si>
  <si>
    <t>Adam Iniguez</t>
  </si>
  <si>
    <t>adaminiguezzz@gmail.com</t>
  </si>
  <si>
    <t>617 South Almansor Street</t>
  </si>
  <si>
    <t>A</t>
  </si>
  <si>
    <t>Alhambra</t>
  </si>
  <si>
    <t>65F320390J1511608</t>
  </si>
  <si>
    <t>G2A22-171125-1IM2M</t>
  </si>
  <si>
    <t>G2A22-171125-1IM2M-1</t>
  </si>
  <si>
    <t>OoBnzNmx</t>
  </si>
  <si>
    <t>LDPW</t>
  </si>
  <si>
    <t>🔥Last Day Promotion 50% OFF - Wireless Handheld Car Vacuum Cleaner (WHITE Wireless/1PCS 50% OFF💝)</t>
  </si>
  <si>
    <t>https://shopfuny.com/products/vacuum</t>
  </si>
  <si>
    <t>DWF</t>
  </si>
  <si>
    <t>Alius Estinvil</t>
  </si>
  <si>
    <t>aliusestinvil@yahoo.com</t>
  </si>
  <si>
    <t>861 Belmont Dr</t>
  </si>
  <si>
    <t>West Palm Beach</t>
  </si>
  <si>
    <t>FL</t>
  </si>
  <si>
    <t>lyndylutz@gmail.com</t>
  </si>
  <si>
    <t>06L351017M6526445</t>
  </si>
  <si>
    <t>B000005612</t>
  </si>
  <si>
    <t>G2A22-181125-XWEVX</t>
  </si>
  <si>
    <t>G2A22-181125-XWEVX-1</t>
  </si>
  <si>
    <t>4ZI2G9WY</t>
  </si>
  <si>
    <t>🔥Last Day Promotion 50% OFF - Wireless Handheld Car Vacuum Cleaner (GREY (Enhanced Edition🔥Vacuum + Blow Available）/1PCS 50% OFF💝)</t>
  </si>
  <si>
    <t>SDH0077325119</t>
  </si>
  <si>
    <t>James Ripperger</t>
  </si>
  <si>
    <t>jimmythecameraman@gmail.com</t>
  </si>
  <si>
    <t>117 25th Street Southwest</t>
  </si>
  <si>
    <t>Mason City</t>
  </si>
  <si>
    <t>IA</t>
  </si>
  <si>
    <t>8SC70180RK343432J</t>
  </si>
  <si>
    <t>MTUBV-181125-51MRR</t>
  </si>
  <si>
    <t>MTUBV-181125-51MRR-1</t>
  </si>
  <si>
    <t>ltAkckuN</t>
  </si>
  <si>
    <t>4576SPH</t>
  </si>
  <si>
    <t>🎉Hot Selling Thickened Warm Tank Top with Shelf Bra
 (Beige/L)</t>
  </si>
  <si>
    <t>https://mochiinii.com/products/tank-top</t>
  </si>
  <si>
    <t>ARG</t>
  </si>
  <si>
    <t>SDH0077222932</t>
  </si>
  <si>
    <t>Martha Tory</t>
  </si>
  <si>
    <t>mosomoso19@gmail.com</t>
  </si>
  <si>
    <t>785 Beech Ave</t>
  </si>
  <si>
    <t>Chula Vista</t>
  </si>
  <si>
    <t>cong2672000@gmail.com</t>
  </si>
  <si>
    <t>5T439283CJ356442J</t>
  </si>
  <si>
    <t>B000004576</t>
  </si>
  <si>
    <t>MTUBV-181125-RZ286</t>
  </si>
  <si>
    <t>MTUBV-181125-RZ286-1</t>
  </si>
  <si>
    <t>EPAPaDNI</t>
  </si>
  <si>
    <t>🎉Hot Selling Thickened Warm Tank Top with Shelf Bra
 (Set 3 (Beige+Coffee+Khaki) 🔥Save 50%🔥/XL)</t>
  </si>
  <si>
    <t>SDH0077271365</t>
  </si>
  <si>
    <t>Lourdes Flores</t>
  </si>
  <si>
    <t>lulufloresmk@gmail.com</t>
  </si>
  <si>
    <t>4305 S. Keeler</t>
  </si>
  <si>
    <t>Chicago</t>
  </si>
  <si>
    <t>IL</t>
  </si>
  <si>
    <t>0S028184BY4581628</t>
  </si>
  <si>
    <t>MTUBV-181125-DDHDE</t>
  </si>
  <si>
    <t>MTUBV-181125-DDHDE-1</t>
  </si>
  <si>
    <t>nN7eH13k</t>
  </si>
  <si>
    <t>🎉Hot Selling Thickened Warm Tank Top with Shelf Bra
 (Set 3 (Black+Coffee+Beige) 🔥Save 50%🔥/2XL)</t>
  </si>
  <si>
    <t>SDH0077344210</t>
  </si>
  <si>
    <t>Frida Ngam</t>
  </si>
  <si>
    <t>Haansmarketing@gmail.com</t>
  </si>
  <si>
    <t>8727 TIMBER OAK LANE</t>
  </si>
  <si>
    <t>Laurel</t>
  </si>
  <si>
    <t>MD</t>
  </si>
  <si>
    <t>85R644596B684134E</t>
  </si>
  <si>
    <t>MTUBV-181125-TZL5O</t>
  </si>
  <si>
    <t>MTUBV-181125-TZL5O-1</t>
  </si>
  <si>
    <t>TGLQtDeD</t>
  </si>
  <si>
    <t>🎉Hot Selling Thickened Warm Tank Top with Shelf Bra
 (Beige/XL)</t>
  </si>
  <si>
    <t>SDH0077381426</t>
  </si>
  <si>
    <t>BECKY ROARK</t>
  </si>
  <si>
    <t>beckyjo7017@att.net</t>
  </si>
  <si>
    <t>3115 59th Street</t>
  </si>
  <si>
    <t>Lubbock</t>
  </si>
  <si>
    <t>TX</t>
  </si>
  <si>
    <t>4WP61350P0968671T</t>
  </si>
  <si>
    <t>G2A22-181125-V38R3</t>
  </si>
  <si>
    <t>G2A22-181125-V38R3-1</t>
  </si>
  <si>
    <t>KVADzMXT</t>
  </si>
  <si>
    <t>🔥Last Day Promotion 50% OFF - Wireless Handheld Car Vacuum Cleaner (BLACK Wireless/1PCS 50% OFF💝)</t>
  </si>
  <si>
    <t>SDH0077434046</t>
  </si>
  <si>
    <t>Michelle Armorer</t>
  </si>
  <si>
    <t>Michelle.armorer@gmail.com</t>
  </si>
  <si>
    <t>1891 Strauss Street</t>
  </si>
  <si>
    <t>Brooklyn</t>
  </si>
  <si>
    <t>NY</t>
  </si>
  <si>
    <t>92J7465469078020P</t>
  </si>
  <si>
    <t>MTUBV-181125-EOC2J</t>
  </si>
  <si>
    <t>MTUBV-181125-EOC2J-1</t>
  </si>
  <si>
    <t>tJN04RDL</t>
  </si>
  <si>
    <t>🎉Hot Selling Thickened Warm Tank Top with Shelf Bra
 (Set 3 (Black+Beige+Khaki) 🔥Save 50%🔥/L)</t>
  </si>
  <si>
    <t>SDH0077343959</t>
  </si>
  <si>
    <t>Sandra Doorsammy</t>
  </si>
  <si>
    <t>sandradoorsammy@yahoo.com</t>
  </si>
  <si>
    <t>7320 Grotto Avenue</t>
  </si>
  <si>
    <t>Orlando</t>
  </si>
  <si>
    <t>6P95352122251772R</t>
  </si>
  <si>
    <t>MTUBV-181125-E509E</t>
  </si>
  <si>
    <t>MTUBV-181125-E509E-1</t>
  </si>
  <si>
    <t>SDH0077370745</t>
  </si>
  <si>
    <t>Rosina Rijken</t>
  </si>
  <si>
    <t>eni.roza@gmail.com</t>
  </si>
  <si>
    <t>431 Highedge Dr</t>
  </si>
  <si>
    <t>Fate</t>
  </si>
  <si>
    <t>75087-0920</t>
  </si>
  <si>
    <t>03S98870P46351535</t>
  </si>
  <si>
    <t>MTUBV-181125-TTHJM</t>
  </si>
  <si>
    <t>MTUBV-181125-TTHJM-1</t>
  </si>
  <si>
    <t>Q6GsOXJn</t>
  </si>
  <si>
    <t>🎉Hot Selling Thickened Warm Tank Top with Shelf Bra
 (Set 3 (Black+Beige+Khaki) 🔥Save 50%🔥/XL)</t>
  </si>
  <si>
    <t>SDH0077392605</t>
  </si>
  <si>
    <t>Colette Field</t>
  </si>
  <si>
    <t>fieldcolette58@gmail.com</t>
  </si>
  <si>
    <t>99 Longwood Avenue</t>
  </si>
  <si>
    <t>Manchester</t>
  </si>
  <si>
    <t>NH</t>
  </si>
  <si>
    <t>42M0413614916602S</t>
  </si>
  <si>
    <t>MTUBV-181125-H1MAX</t>
  </si>
  <si>
    <t>MTUBV-181125-H1MAX-1</t>
  </si>
  <si>
    <t>SDH0077230549</t>
  </si>
  <si>
    <t>Elva Sintes</t>
  </si>
  <si>
    <t>elvasintes@hotmail.com</t>
  </si>
  <si>
    <t>9460 SW 54 Street</t>
  </si>
  <si>
    <t>Miami</t>
  </si>
  <si>
    <t>0WM769259J8182512</t>
  </si>
  <si>
    <t>G2A22-181125-HN7EZ</t>
  </si>
  <si>
    <t>G2A22-181125-HN7EZ-1</t>
  </si>
  <si>
    <t>SDH0071521109</t>
  </si>
  <si>
    <t>Joyce Nakamoto</t>
  </si>
  <si>
    <t>timandjord@gmail.com</t>
  </si>
  <si>
    <t>902 Puku Street</t>
  </si>
  <si>
    <t>Hilo</t>
  </si>
  <si>
    <t>73T10570TK9834102</t>
  </si>
  <si>
    <t>MTUBV-181125-D05WM</t>
  </si>
  <si>
    <t>MTUBV-181125-D05WM-1</t>
  </si>
  <si>
    <t>NPiisEl4</t>
  </si>
  <si>
    <t>🎉Hot Selling Thickened Warm Tank Top with Shelf Bra
 (Set 4 (Black+Coffee+Khaki+Beige) 🔥Save 60%🔥/L)</t>
  </si>
  <si>
    <t>SDH0077276325</t>
  </si>
  <si>
    <t>Cathryn Barber</t>
  </si>
  <si>
    <t>Cathrynbarber.rn@gmail.com</t>
  </si>
  <si>
    <t>725 N. Kasen Cir</t>
  </si>
  <si>
    <t>ElkRidge</t>
  </si>
  <si>
    <t>UT</t>
  </si>
  <si>
    <t>25X04287EP743505L</t>
  </si>
  <si>
    <t>MTUBV-181125-3ET4M</t>
  </si>
  <si>
    <t>MTUBV-181125-3ET4M-1</t>
  </si>
  <si>
    <t>QZWzryxV</t>
  </si>
  <si>
    <t>🎉Hot Selling Thickened Warm Tank Top with Shelf Bra
 (Set 3 (Black+Beige+Khaki) 🔥Save 50%🔥/M)</t>
  </si>
  <si>
    <t>SDH0077212114</t>
  </si>
  <si>
    <t>Kathleen Strunk</t>
  </si>
  <si>
    <t>Skeskies@yahoo.com</t>
  </si>
  <si>
    <t>6136 Buchanan Drive</t>
  </si>
  <si>
    <t>West Lafayette</t>
  </si>
  <si>
    <t>IN</t>
  </si>
  <si>
    <t>9NJ30056YK013141W</t>
  </si>
  <si>
    <t>ZAAIC-181125-M33H0</t>
  </si>
  <si>
    <t>ZAAIC-181125-M33H0-1</t>
  </si>
  <si>
    <t>414v9rZ2</t>
  </si>
  <si>
    <t>213SPH</t>
  </si>
  <si>
    <t>👖Tummy Control Cropped Wide-Leg Jeans ⭐ 2025 Best Selling Jeans (SHADED BLUE/3XL)</t>
  </si>
  <si>
    <t>https://obormi.com/products/cropped-jeans</t>
  </si>
  <si>
    <t>BSO</t>
  </si>
  <si>
    <t>SDH0077410574</t>
  </si>
  <si>
    <t>Linda Overs</t>
  </si>
  <si>
    <t>Lindaovers1951@gmail.com</t>
  </si>
  <si>
    <t>9000 US hwy 192</t>
  </si>
  <si>
    <t>Lot363</t>
  </si>
  <si>
    <t>Clermont</t>
  </si>
  <si>
    <t>nguyenthang5356@gmail.com</t>
  </si>
  <si>
    <t>67P9052998314470B</t>
  </si>
  <si>
    <t>B000000213</t>
  </si>
  <si>
    <t>G2A22-181125-XMFQB</t>
  </si>
  <si>
    <t>G2A22-181125-XMFQB-1</t>
  </si>
  <si>
    <t>SDH0077469911</t>
  </si>
  <si>
    <t>Betty Bond</t>
  </si>
  <si>
    <t>Bbond@prtcnet.org</t>
  </si>
  <si>
    <t>7128 Hwy 3630</t>
  </si>
  <si>
    <t>Annville</t>
  </si>
  <si>
    <t>KY</t>
  </si>
  <si>
    <t>4CM65338C66588041</t>
  </si>
  <si>
    <t>ZAAIC-181125-IKK8Q</t>
  </si>
  <si>
    <t>ZAAIC-181125-IKK8Q-1</t>
  </si>
  <si>
    <t>Am48c0zB</t>
  </si>
  <si>
    <t>👖Tummy Control Cropped Wide-Leg Jeans ⭐ 2025 Best Selling Jeans (Buy 2(SHADED BLUE+BLACK)🔥Get Extra 10% OFF🔥/M)</t>
  </si>
  <si>
    <t>SDH0077455545</t>
  </si>
  <si>
    <t>Wanda Stine</t>
  </si>
  <si>
    <t>Wandasstine@yahoo.com</t>
  </si>
  <si>
    <t>610 GRAYBOW Road</t>
  </si>
  <si>
    <t>DeRidder</t>
  </si>
  <si>
    <t>LA</t>
  </si>
  <si>
    <t>46U86179UT7133207</t>
  </si>
  <si>
    <t>ZAAIC-181125-4Y17S</t>
  </si>
  <si>
    <t>ZAAIC-181125-4Y17S-1</t>
  </si>
  <si>
    <t>9zr7WvJa</t>
  </si>
  <si>
    <t>👖Tummy Control Cropped Wide-Leg Jeans ⭐ 2025 Best Selling Jeans (Buy 3(Full Color)🔥Get Extra 15% OFF🔥/L)</t>
  </si>
  <si>
    <t>SDH0077440961</t>
  </si>
  <si>
    <t>Christine Kvidera</t>
  </si>
  <si>
    <t>Chrisco28@aol.com</t>
  </si>
  <si>
    <t>65454 E Desert Moon Ct</t>
  </si>
  <si>
    <t>Tucson</t>
  </si>
  <si>
    <t>AZ</t>
  </si>
  <si>
    <t>97U399145A5015705</t>
  </si>
  <si>
    <t>ZAAIC-181125-9ZF8E</t>
  </si>
  <si>
    <t>ZAAIC-181125-9ZF8E-1</t>
  </si>
  <si>
    <t>JUIar4JC</t>
  </si>
  <si>
    <t>👖Tummy Control Cropped Wide-Leg Jeans ⭐ 2025 Best Selling Jeans (SHADED BLUE/L)</t>
  </si>
  <si>
    <t>SDH0077344522</t>
  </si>
  <si>
    <t>Jan Cohen</t>
  </si>
  <si>
    <t>Janjewel12756@gmail.com</t>
  </si>
  <si>
    <t>11410 Apricot valley drive</t>
  </si>
  <si>
    <t>Boynton Beach</t>
  </si>
  <si>
    <t>41S849634D270573X</t>
  </si>
  <si>
    <t>ZAAIC-181125-C6VD5</t>
  </si>
  <si>
    <t>ZAAIC-181125-C6VD5-1</t>
  </si>
  <si>
    <t>KVgZ9r5T</t>
  </si>
  <si>
    <t>👖Tummy Control Cropped Wide-Leg Jeans ⭐ 2025 Best Selling Jeans (SHADED BLUE/2XL)</t>
  </si>
  <si>
    <t>SDH0077380619</t>
  </si>
  <si>
    <t>MARY CELNICKER</t>
  </si>
  <si>
    <t>marycelnicker@gmail.com</t>
  </si>
  <si>
    <t>9851 SE 40TH AVE</t>
  </si>
  <si>
    <t>PORTLAND</t>
  </si>
  <si>
    <t>OR</t>
  </si>
  <si>
    <t>97222-5716</t>
  </si>
  <si>
    <t>30U40638A2034690E</t>
  </si>
  <si>
    <t>ZAAIC-181125-AB9SL</t>
  </si>
  <si>
    <t>ZAAIC-181125-AB9SL-1</t>
  </si>
  <si>
    <t>rUhGvyVy</t>
  </si>
  <si>
    <t>👖Tummy Control Cropped Wide-Leg Jeans ⭐ 2025 Best Selling Jeans (Buy 2(SHADED BLUE+BLACK)🔥Get Extra 10% OFF🔥/XL)</t>
  </si>
  <si>
    <t>SDH0077287827</t>
  </si>
  <si>
    <t>Nancy Beesley</t>
  </si>
  <si>
    <t>talkin2nancyb@aol.com</t>
  </si>
  <si>
    <t>349 Havana Ave.</t>
  </si>
  <si>
    <t>Long Beach</t>
  </si>
  <si>
    <t>1BW72905LA309401H</t>
  </si>
  <si>
    <t>ZAAIC-181125-1U100</t>
  </si>
  <si>
    <t>ZAAIC-181125-1U100-1</t>
  </si>
  <si>
    <t>SDH0077376961</t>
  </si>
  <si>
    <t>Nancy Lockhart</t>
  </si>
  <si>
    <t>Nlockhart.realtor@gmail.com</t>
  </si>
  <si>
    <t>15910 Gleneagle Ct</t>
  </si>
  <si>
    <t>Fort Myers</t>
  </si>
  <si>
    <t>82F83470G59001241</t>
  </si>
  <si>
    <t>ZAAIC-181125-Q5X94</t>
  </si>
  <si>
    <t>ZAAIC-181125-Q5X94-1</t>
  </si>
  <si>
    <t>I1qwdmQg</t>
  </si>
  <si>
    <t>👖Tummy Control Cropped Wide-Leg Jeans ⭐ 2025 Best Selling Jeans (BLACK/M)</t>
  </si>
  <si>
    <t>SDH0077350975</t>
  </si>
  <si>
    <t>Ginny Nash</t>
  </si>
  <si>
    <t>ginny@ins-etc.com</t>
  </si>
  <si>
    <t>2302 Ladbrook Drive</t>
  </si>
  <si>
    <t>Apt 7203</t>
  </si>
  <si>
    <t>Kingwood</t>
  </si>
  <si>
    <t>5PT959117U960672W</t>
  </si>
  <si>
    <t>ZAAIC-181125-9FB93</t>
  </si>
  <si>
    <t>ZAAIC-181125-9FB93-1</t>
  </si>
  <si>
    <t>XBZQrXxF</t>
  </si>
  <si>
    <t>👖Tummy Control Cropped Wide-Leg Jeans ⭐ 2025 Best Selling Jeans (Buy 2(SHADED BLUE+BLACK)🔥Get Extra 10% OFF🔥/L)</t>
  </si>
  <si>
    <t>SDH0077421537</t>
  </si>
  <si>
    <t>Martha Howe</t>
  </si>
  <si>
    <t>howemartha@hotmail.com</t>
  </si>
  <si>
    <t>6015 Southwest Erickson Avenue</t>
  </si>
  <si>
    <t>Beaverton</t>
  </si>
  <si>
    <t>6CE38073BS688754U</t>
  </si>
  <si>
    <t>ZAAIC-181125-U74DS</t>
  </si>
  <si>
    <t>ZAAIC-181125-U74DS-1</t>
  </si>
  <si>
    <t>aIp8tfOl</t>
  </si>
  <si>
    <t>👖Tummy Control Cropped Wide-Leg Jeans ⭐ 2025 Best Selling Jeans (SHADED BLUE/M)</t>
  </si>
  <si>
    <t>SDH0077480545</t>
  </si>
  <si>
    <t>Darlene Hudson</t>
  </si>
  <si>
    <t>djhudson@comcast.net</t>
  </si>
  <si>
    <t>132 N Hayden Bay Drive</t>
  </si>
  <si>
    <t>Building “C”</t>
  </si>
  <si>
    <t>Portland</t>
  </si>
  <si>
    <t>61P30838MC412803K</t>
  </si>
  <si>
    <t>ZAAIC-181125-3SFG6</t>
  </si>
  <si>
    <t>ZAAIC-181125-3SFG6-1</t>
  </si>
  <si>
    <t>SDH0077263324</t>
  </si>
  <si>
    <t>MARYLOU Sodano</t>
  </si>
  <si>
    <t>MsMaryLou2013@gmail.com</t>
  </si>
  <si>
    <t>3752 Fenwick Drive</t>
  </si>
  <si>
    <t>SPRING VALLEY</t>
  </si>
  <si>
    <t>3P9332434C229273D</t>
  </si>
  <si>
    <t>G2A22-181125-IZD30</t>
  </si>
  <si>
    <t>G2A22-181125-IZD30-1</t>
  </si>
  <si>
    <t>SDH0077458795</t>
  </si>
  <si>
    <t>Chinh Nguyen</t>
  </si>
  <si>
    <t>tonguyen1234510@yahoo.com</t>
  </si>
  <si>
    <t>3178  Remington Way</t>
  </si>
  <si>
    <t>San Jose</t>
  </si>
  <si>
    <t>0YS00871KX592432W</t>
  </si>
  <si>
    <t>ZAAIC-181125-QJMO0</t>
  </si>
  <si>
    <t>ZAAIC-181125-QJMO0-1</t>
  </si>
  <si>
    <t>huVLIFFI</t>
  </si>
  <si>
    <t>👖Tummy Control Cropped Wide-Leg Jeans ⭐ 2025 Best Selling Jeans (SHADED BLUE/XL)</t>
  </si>
  <si>
    <t>SDH0077367983</t>
  </si>
  <si>
    <t>Debra Parsons</t>
  </si>
  <si>
    <t>Debraparsons0115@hotmail.com</t>
  </si>
  <si>
    <t>P.O. Box 1541</t>
  </si>
  <si>
    <t>Lewisburg</t>
  </si>
  <si>
    <t>WV</t>
  </si>
  <si>
    <t>7YA30677142605152</t>
  </si>
  <si>
    <t>MTUBV-181125-BY8XH</t>
  </si>
  <si>
    <t>MTUBV-181125-BY8XH-1</t>
  </si>
  <si>
    <t>fPIeGdZY</t>
  </si>
  <si>
    <t>🎉Hot Selling Thickened Warm Tank Top with Shelf Bra
 (Black/M)</t>
  </si>
  <si>
    <t>SDH0077485725</t>
  </si>
  <si>
    <t>Juana Negrete</t>
  </si>
  <si>
    <t>negretej22@gmail.com</t>
  </si>
  <si>
    <t>329 Wileman St</t>
  </si>
  <si>
    <t>Fillmore</t>
  </si>
  <si>
    <t>60T955604F3657504</t>
  </si>
  <si>
    <t>ZAAIC-181125-6AEF5</t>
  </si>
  <si>
    <t>ZAAIC-181125-6AEF5-1</t>
  </si>
  <si>
    <t>8ZNwqLyc</t>
  </si>
  <si>
    <t>👖Tummy Control Cropped Wide-Leg Jeans ⭐ 2025 Best Selling Jeans (Buy 2(SHADED BLUE+WHITE)🔥Get Extra 10% OFF🔥/XL)</t>
  </si>
  <si>
    <t>SDH0077263512</t>
  </si>
  <si>
    <t>Martha Dabbs</t>
  </si>
  <si>
    <t>Dabbsmartha1@gmail.com</t>
  </si>
  <si>
    <t>604 Westover Ave</t>
  </si>
  <si>
    <t>Taft</t>
  </si>
  <si>
    <t>833714232M561715G</t>
  </si>
  <si>
    <t>ZAAIC-181125-BIC8E</t>
  </si>
  <si>
    <t>ZAAIC-181125-BIC8E-1</t>
  </si>
  <si>
    <t>RJgLfnP1</t>
  </si>
  <si>
    <t>👖Tummy Control Cropped Wide-Leg Jeans ⭐ 2025 Best Selling Jeans (Buy 3(Full Color)🔥Get Extra 15% OFF🔥/XS)</t>
  </si>
  <si>
    <t>SDH0077304784</t>
  </si>
  <si>
    <t>Katheline Berg</t>
  </si>
  <si>
    <t>kathelinejoberg@gmail.com</t>
  </si>
  <si>
    <t>22391 Bear Creek Dr North</t>
  </si>
  <si>
    <t>Murrieta</t>
  </si>
  <si>
    <t>3VM5209587219993E</t>
  </si>
  <si>
    <t>ZAAIC-181125-X1K4L</t>
  </si>
  <si>
    <t>ZAAIC-181125-X1K4L-1</t>
  </si>
  <si>
    <t>r2wGRRZw</t>
  </si>
  <si>
    <t>👖Tummy Control Cropped Wide-Leg Jeans ⭐ 2025 Best Selling Jeans (SHADED BLUE/S)</t>
  </si>
  <si>
    <t>SDH0077495546</t>
  </si>
  <si>
    <t>Carol Teters</t>
  </si>
  <si>
    <t>cjteters01@live.com</t>
  </si>
  <si>
    <t>1610 SEAGRASS AVE</t>
  </si>
  <si>
    <t>Polk City</t>
  </si>
  <si>
    <t>2NL2372612225311P</t>
  </si>
  <si>
    <t>ZAAIC-181125-2KX30</t>
  </si>
  <si>
    <t>ZAAIC-181125-2KX30-1</t>
  </si>
  <si>
    <t>SDH0077436159</t>
  </si>
  <si>
    <t>Sandra Schieber</t>
  </si>
  <si>
    <t>barbiejh987@yahoo.com</t>
  </si>
  <si>
    <t>10721 Promenade Terrace</t>
  </si>
  <si>
    <t>McKinney</t>
  </si>
  <si>
    <t>392164018J433681A</t>
  </si>
  <si>
    <t>ZAAIC-181125-JVNT2</t>
  </si>
  <si>
    <t>ZAAIC-181125-JVNT2-1</t>
  </si>
  <si>
    <t>oMzOqyWM</t>
  </si>
  <si>
    <t>👖Tummy Control Cropped Wide-Leg Jeans ⭐ 2025 Best Selling Jeans (BLACK/XL)</t>
  </si>
  <si>
    <t>SDH0077241915</t>
  </si>
  <si>
    <t>Jeanne Virissimo</t>
  </si>
  <si>
    <t>jeannevirissimo@gmail.com</t>
  </si>
  <si>
    <t>2915 Lawrence Street</t>
  </si>
  <si>
    <t>San Diego</t>
  </si>
  <si>
    <t>6CY868301B4588020</t>
  </si>
  <si>
    <t>15196-191125-I6G72</t>
  </si>
  <si>
    <t>15196-191125-I6G72-1</t>
  </si>
  <si>
    <t>mkEOqEw5</t>
  </si>
  <si>
    <t>B000006090</t>
  </si>
  <si>
    <t>🌈Early Christmas Discounts🎄 Multi-color LED animated outdoor Christmas tree (2M (6.5 FT))</t>
  </si>
  <si>
    <t>https://xxchristmas.com/products/Christmastree</t>
  </si>
  <si>
    <t>CAR</t>
  </si>
  <si>
    <t>SDH0077303848</t>
  </si>
  <si>
    <t>Alma</t>
  </si>
  <si>
    <t>almasoto2381@gmail.com</t>
  </si>
  <si>
    <t>247 N Neltnor Blvd Apt H1H</t>
  </si>
  <si>
    <t>West chicago</t>
  </si>
  <si>
    <t>levantai290296@gmail.com</t>
  </si>
  <si>
    <t>743446393J757004Y</t>
  </si>
  <si>
    <t>G2A22-191125-1L0O8</t>
  </si>
  <si>
    <t>G2A22-191125-1L0O8-1</t>
  </si>
  <si>
    <t>SDH0077287930</t>
  </si>
  <si>
    <t>Winston Douglas</t>
  </si>
  <si>
    <t>winrd@comcast.net</t>
  </si>
  <si>
    <t>193 Buccaneer Drive</t>
  </si>
  <si>
    <t>Hattiesburg</t>
  </si>
  <si>
    <t>MS</t>
  </si>
  <si>
    <t>9AB11231JK631962V</t>
  </si>
  <si>
    <t>MTLYD-191125-4NSHG</t>
  </si>
  <si>
    <t>MTLYD-191125-4NSHG-1</t>
  </si>
  <si>
    <t>DpcBbWWM</t>
  </si>
  <si>
    <t>817SPH</t>
  </si>
  <si>
    <t>🔥Summer Sizzler Sale 50%✨⛱️Breathable mesh sports sandals with non-slip sole (Set 2 (Black + Brown) 60% OFF/8.5)</t>
  </si>
  <si>
    <t>https://avylays.com/products/sandals</t>
  </si>
  <si>
    <t>OSB</t>
  </si>
  <si>
    <t>SDH0077565576</t>
  </si>
  <si>
    <t>CHRYESETTA REID</t>
  </si>
  <si>
    <t>chryesettreid@icloud.com</t>
  </si>
  <si>
    <t>5470 Barrwyn Dr</t>
  </si>
  <si>
    <t>Rex</t>
  </si>
  <si>
    <t>GA</t>
  </si>
  <si>
    <t>quangtrung95dhcn@gmail.com</t>
  </si>
  <si>
    <t>94K856549D3734924</t>
  </si>
  <si>
    <t>B000000817</t>
  </si>
  <si>
    <t>O9UBC-191125-N755A</t>
  </si>
  <si>
    <t>O9UBC-191125-N755A-1</t>
  </si>
  <si>
    <t>hAtAIks9</t>
  </si>
  <si>
    <t>BC</t>
  </si>
  <si>
    <t>🔥 HOT SALE 49%🔥 Breathable Anti-Sagging Breasts Bra
 (Set 2(Black+Beige)💥50% OFF/2XL)</t>
  </si>
  <si>
    <t>https://agmonz.com/products/breasts</t>
  </si>
  <si>
    <t>KVC</t>
  </si>
  <si>
    <t>SDH0077574155</t>
  </si>
  <si>
    <t>Noelyne Langston</t>
  </si>
  <si>
    <t>noelyneltd@gmail.com</t>
  </si>
  <si>
    <t>936 Nursery Road</t>
  </si>
  <si>
    <t>Lillington NC</t>
  </si>
  <si>
    <t>NC</t>
  </si>
  <si>
    <t>trangpukin0911@gmail.com</t>
  </si>
  <si>
    <t>96587728WJ709894D</t>
  </si>
  <si>
    <t>B000005617</t>
  </si>
  <si>
    <t>MTUBV-191125-RQ191</t>
  </si>
  <si>
    <t>MTUBV-191125-RQ191-1</t>
  </si>
  <si>
    <t>SDH0077544221</t>
  </si>
  <si>
    <t>Silva Prodan</t>
  </si>
  <si>
    <t>sionosilva@hotmail.com</t>
  </si>
  <si>
    <t>800 East 15th Street Unit 307</t>
  </si>
  <si>
    <t>Plano</t>
  </si>
  <si>
    <t>75074-5866</t>
  </si>
  <si>
    <t>0LH64361LF653715P</t>
  </si>
  <si>
    <t>IL57A-191125-NBBHG</t>
  </si>
  <si>
    <t>IL57A-191125-NBBHG-1</t>
  </si>
  <si>
    <t>5DY2Tl8W</t>
  </si>
  <si>
    <t>B000005635</t>
  </si>
  <si>
    <t>OrbDrone – 🎄Early Christmas Sale-50% OFF🎁 Flying Orb Pro Spinner Mini Drone (Blue)</t>
  </si>
  <si>
    <t>https://mall.agenale.com/products/drone</t>
  </si>
  <si>
    <t>DEV</t>
  </si>
  <si>
    <t>SDH0077552379</t>
  </si>
  <si>
    <t>Marcia Kay</t>
  </si>
  <si>
    <t>mefk1717@aol.com</t>
  </si>
  <si>
    <t>25 patriots way</t>
  </si>
  <si>
    <t>Somerset</t>
  </si>
  <si>
    <t>NJ</t>
  </si>
  <si>
    <t>nguyendev1105@gmail.com</t>
  </si>
  <si>
    <t>6EM14530KR100561J</t>
  </si>
  <si>
    <t>MTLYD-191125-LS9EA</t>
  </si>
  <si>
    <t>MTLYD-191125-LS9EA-1</t>
  </si>
  <si>
    <t>sFfdy4V0</t>
  </si>
  <si>
    <t>🔥Summer Sizzler Sale 50%✨⛱️Breathable mesh sports sandals with non-slip sole (Set 2 (Black + Brown) 60% OFF/8)</t>
  </si>
  <si>
    <t>SDH0077390879</t>
  </si>
  <si>
    <t>Evelyn Bailey</t>
  </si>
  <si>
    <t>EVBAILEY1970@GMAIL.COM</t>
  </si>
  <si>
    <t>11039 Stapleton Dr</t>
  </si>
  <si>
    <t>Jacksonville</t>
  </si>
  <si>
    <t>7EH09596RE6296541</t>
  </si>
  <si>
    <t>O9UBC-191125-M1V31</t>
  </si>
  <si>
    <t>O9UBC-191125-M1V31-1</t>
  </si>
  <si>
    <t>OZgWWWwR</t>
  </si>
  <si>
    <t>🔥 HOT SALE 49%🔥 Breathable Anti-Sagging Breasts Bra
 (Beige/2XL)</t>
  </si>
  <si>
    <t>SDH0077639745</t>
  </si>
  <si>
    <t>Barbara Smiler</t>
  </si>
  <si>
    <t>Barbarasmiler@hotmail.com</t>
  </si>
  <si>
    <t>1561Bridgewood  Drive</t>
  </si>
  <si>
    <t>Boca Raton</t>
  </si>
  <si>
    <t>7N2661496X281602L</t>
  </si>
  <si>
    <t>O9UBC-191125-M7O7L</t>
  </si>
  <si>
    <t>O9UBC-191125-M7O7L-1</t>
  </si>
  <si>
    <t>VxSrEtFw</t>
  </si>
  <si>
    <t>🔥 HOT SALE 49%🔥 Breathable Anti-Sagging Breasts Bra
 (Set 2(Black+Beige)💥50% OFF/L)</t>
  </si>
  <si>
    <t>SDH0077695086</t>
  </si>
  <si>
    <t>Inger Miller</t>
  </si>
  <si>
    <t>Inger.miller@sbcglobal.net</t>
  </si>
  <si>
    <t>1217 Somerset Blvd</t>
  </si>
  <si>
    <t>Colleyville</t>
  </si>
  <si>
    <t>58H027247C486802P</t>
  </si>
  <si>
    <t>MTUBV-191125-346NF</t>
  </si>
  <si>
    <t>MTUBV-191125-346NF-1</t>
  </si>
  <si>
    <t>YR2zaRHd</t>
  </si>
  <si>
    <t>🎉Hot Selling Thickened Warm Tank Top with Shelf Bra
 (Set 4 (Black+Coffee+Khaki+Beige) 🔥Save 60%🔥/M)</t>
  </si>
  <si>
    <t>SDH0077627566</t>
  </si>
  <si>
    <t>michelle phan</t>
  </si>
  <si>
    <t>michellephan63@gmail.com</t>
  </si>
  <si>
    <t>3706 Se 12th Street</t>
  </si>
  <si>
    <t>Desmoines</t>
  </si>
  <si>
    <t>95001125FR936235B</t>
  </si>
  <si>
    <t>BT6P5-191125-E1D1K</t>
  </si>
  <si>
    <t>BT6P5-191125-E1D1K-1</t>
  </si>
  <si>
    <t>fmyq6425</t>
  </si>
  <si>
    <t>2875SPH</t>
  </si>
  <si>
    <t>【OFFICIAL STORE】Non-Invasive Health Monitor (Measures Oxygen Saturation, and Heart Rate) 99.9% Accurate
 (White/Set 1🔥50% OFF🔥)</t>
  </si>
  <si>
    <t>https://coxist-us.com/products/health-monitor</t>
  </si>
  <si>
    <t>DAH</t>
  </si>
  <si>
    <t>SDH0077235086</t>
  </si>
  <si>
    <t>Paula Ouimet</t>
  </si>
  <si>
    <t>Pouimet353@yahoo.com</t>
  </si>
  <si>
    <t>2724 Alamanda Dr.</t>
  </si>
  <si>
    <t>Edgewater</t>
  </si>
  <si>
    <t>dangthanh1231996@gmail.com</t>
  </si>
  <si>
    <t>1KL79400890092210</t>
  </si>
  <si>
    <t>B000002875</t>
  </si>
  <si>
    <t>MTUBV-191125-IT7JI</t>
  </si>
  <si>
    <t>MTUBV-191125-IT7JI-1</t>
  </si>
  <si>
    <t>SDH0077215373</t>
  </si>
  <si>
    <t>Donna Norris</t>
  </si>
  <si>
    <t>dkn4au@gmail.com</t>
  </si>
  <si>
    <t>1449 Richland Rd., Apt.9E</t>
  </si>
  <si>
    <t>Auburn</t>
  </si>
  <si>
    <t>AL</t>
  </si>
  <si>
    <t>1HR880139F610384T</t>
  </si>
  <si>
    <t>QVAJV-191125-Q1Z3V</t>
  </si>
  <si>
    <t>QVAJV-191125-Q1Z3V-1</t>
  </si>
  <si>
    <t>s8TzO9o9</t>
  </si>
  <si>
    <t>B000011660</t>
  </si>
  <si>
    <t>Soothe Soles (Buy 1/8 - 9)</t>
  </si>
  <si>
    <t>https://soothesoles.store/products/sooothesoles</t>
  </si>
  <si>
    <t>JJC</t>
  </si>
  <si>
    <t>YT2532400707212358</t>
  </si>
  <si>
    <t>YUNEXPRESS</t>
  </si>
  <si>
    <t>Annik Hilbig</t>
  </si>
  <si>
    <t>annik.hilbig@googlemail.com</t>
  </si>
  <si>
    <t>Ruhrstr. 5</t>
  </si>
  <si>
    <t>Witten</t>
  </si>
  <si>
    <t>DE</t>
  </si>
  <si>
    <t>nqcuong.0525@gmail.com</t>
  </si>
  <si>
    <t>47A55695KF474200T</t>
  </si>
  <si>
    <t>O9UBC-191125-J9DNS</t>
  </si>
  <si>
    <t>O9UBC-191125-J9DNS-1</t>
  </si>
  <si>
    <t>Om8SuuRG</t>
  </si>
  <si>
    <t>🔥 HOT SALE 49%🔥 Breathable Anti-Sagging Breasts Bra
 (White/L)</t>
  </si>
  <si>
    <t>SDH0077324117</t>
  </si>
  <si>
    <t>Shelley Abrams</t>
  </si>
  <si>
    <t>shelleyabrams@aol.com</t>
  </si>
  <si>
    <t>255 Oxford Valley Rd</t>
  </si>
  <si>
    <t>Apt 229</t>
  </si>
  <si>
    <t>Yardley</t>
  </si>
  <si>
    <t>PA</t>
  </si>
  <si>
    <t>43E03120GL0344523</t>
  </si>
  <si>
    <t>ZAAIC-191125-E38C3</t>
  </si>
  <si>
    <t>ZAAIC-191125-E38C3-1</t>
  </si>
  <si>
    <t>SDH0077598623</t>
  </si>
  <si>
    <t>Kristen Lohser</t>
  </si>
  <si>
    <t>Klohser@gmail.com</t>
  </si>
  <si>
    <t>1201 par view drive</t>
  </si>
  <si>
    <t>Sanibel</t>
  </si>
  <si>
    <t>pi_3SVBh2K3ZXYJSkRp18cvgzbT</t>
  </si>
  <si>
    <t>ZeniroxPay - Stripe</t>
  </si>
  <si>
    <t>STRIPE</t>
  </si>
  <si>
    <t>MTUBV-191125-W48AL</t>
  </si>
  <si>
    <t>MTUBV-191125-W48AL-1</t>
  </si>
  <si>
    <t>ZZ3wJHEP</t>
  </si>
  <si>
    <t>🎉Hot Selling Thickened Warm Tank Top with Shelf Bra
 (Set 3 (Black+Coffee+Beige) 🔥Save 50%🔥/L)</t>
  </si>
  <si>
    <t>SDH0077495827</t>
  </si>
  <si>
    <t>Annette Trotta</t>
  </si>
  <si>
    <t>trotta1961@icloud.com</t>
  </si>
  <si>
    <t>454 Zelda Blvd</t>
  </si>
  <si>
    <t>Daytona Beach</t>
  </si>
  <si>
    <t>8Y415001WL3850511</t>
  </si>
  <si>
    <t>15196-191125-PVXFS</t>
  </si>
  <si>
    <t>15196-191125-PVXFS-1</t>
  </si>
  <si>
    <t>BqCtR3NH</t>
  </si>
  <si>
    <t>🌈Early Christmas Discounts🎄 Multi-color LED animated outdoor Christmas tree (1.5M (5 FT))</t>
  </si>
  <si>
    <t>SDH0077527835</t>
  </si>
  <si>
    <t>Robert Wierenga</t>
  </si>
  <si>
    <t>dutchk9_s52@yahoo.com</t>
  </si>
  <si>
    <t>N5532 Johnson Rd</t>
  </si>
  <si>
    <t>Delavan</t>
  </si>
  <si>
    <t>5MA311432D663773F</t>
  </si>
  <si>
    <t>ZAAIC-191125-75A3R</t>
  </si>
  <si>
    <t>ZAAIC-191125-75A3R-1</t>
  </si>
  <si>
    <t>Y9CsCG6Z</t>
  </si>
  <si>
    <t>👖Tummy Control Cropped Wide-Leg Jeans ⭐ 2025 Best Selling Jeans (Buy 2(SHADED BLUE+BLACK)🔥Get Extra 10% OFF🔥/S)</t>
  </si>
  <si>
    <t>SDH0077306702</t>
  </si>
  <si>
    <t>Tina Kilgore</t>
  </si>
  <si>
    <t>Kilgoretina916@gmail.com</t>
  </si>
  <si>
    <t>1696 Cabhan Court</t>
  </si>
  <si>
    <t>Folsom</t>
  </si>
  <si>
    <t>pi_3SVBuKK3ZXYJSkRp005Hmh0K</t>
  </si>
  <si>
    <t>ZAAIC-191125-JM39S</t>
  </si>
  <si>
    <t>ZAAIC-191125-JM39S-1</t>
  </si>
  <si>
    <t>SDH0077676459</t>
  </si>
  <si>
    <t>Jacqueline Digney</t>
  </si>
  <si>
    <t>jacquie1031@gmail.com</t>
  </si>
  <si>
    <t>11131 Northborough lane</t>
  </si>
  <si>
    <t>Richmond</t>
  </si>
  <si>
    <t>VA</t>
  </si>
  <si>
    <t>pi_3SVBvSK3ZXYJSkRp1Dlz7rPE</t>
  </si>
  <si>
    <t>ZAAIC-191125-20N71</t>
  </si>
  <si>
    <t>ZAAIC-191125-20N71-1</t>
  </si>
  <si>
    <t>https://mosteg.com/products/cropped-jeans</t>
  </si>
  <si>
    <t>SDH0077548108</t>
  </si>
  <si>
    <t>Lizbeth Curry</t>
  </si>
  <si>
    <t>libbycurry14@gmail.com</t>
  </si>
  <si>
    <t>1780 Sawnee Trail</t>
  </si>
  <si>
    <t>Cumming</t>
  </si>
  <si>
    <t>9TP989582L318843H</t>
  </si>
  <si>
    <t>ZAAIC-191125-NJ399</t>
  </si>
  <si>
    <t>ZAAIC-191125-NJ399-1</t>
  </si>
  <si>
    <t>SDH0077567249</t>
  </si>
  <si>
    <t>Beth Kuhel</t>
  </si>
  <si>
    <t>Bethkuhel@gmail.com</t>
  </si>
  <si>
    <t>400 Sunny Isles Blvd.</t>
  </si>
  <si>
    <t>Sunny isles Beach</t>
  </si>
  <si>
    <t>pi_3SVBvyK3ZXYJSkRp1kGTWGh9</t>
  </si>
  <si>
    <t>ZLD2B-191125-2F5GC</t>
  </si>
  <si>
    <t>ZLD2B-191125-2F5GC-1</t>
  </si>
  <si>
    <t>IYwOBAlO</t>
  </si>
  <si>
    <t>B000005884</t>
  </si>
  <si>
    <t>✨Last Day Promotion 50% OFF - Pet hair remover Electrostatic gloves (Buy 1)</t>
  </si>
  <si>
    <t>https://gralos.com/products/gloves</t>
  </si>
  <si>
    <t>HMU</t>
  </si>
  <si>
    <t>SDH0077601951</t>
  </si>
  <si>
    <t>Cailee Moyer</t>
  </si>
  <si>
    <t>Caileemarie92@gmail.com</t>
  </si>
  <si>
    <t>316 Salvia Street</t>
  </si>
  <si>
    <t>Moncks Corner</t>
  </si>
  <si>
    <t>SC</t>
  </si>
  <si>
    <t>mastur007@gmail.com</t>
  </si>
  <si>
    <t>52C36723WT2200837</t>
  </si>
  <si>
    <t>MTUBV-191125-2JPIN</t>
  </si>
  <si>
    <t>MTUBV-191125-2JPIN-1</t>
  </si>
  <si>
    <t>SDH0077515078</t>
  </si>
  <si>
    <t>Ann Cusano</t>
  </si>
  <si>
    <t>AnnieCusano@comcast.net</t>
  </si>
  <si>
    <t>6 Old County Rd UNIT 13</t>
  </si>
  <si>
    <t>Sudbury</t>
  </si>
  <si>
    <t>MA</t>
  </si>
  <si>
    <t>68V99294PB861930V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</si>
</sst>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-d\-yyyy\ h:mm:ss"/>
    <numFmt numFmtId="165" formatCode="m\-d\-yyyy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rgb="FF0000FF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Border="1" applyFill="1" applyFont="1"/>
    <xf borderId="1" fillId="2" fontId="2" numFmtId="164" xfId="0" applyBorder="1" applyFill="1" applyFont="1" applyNumberFormat="1"/>
    <xf borderId="1" fillId="2" fontId="2" numFmtId="165" xfId="0" applyBorder="1" applyFill="1" applyFont="1" applyNumberFormat="1"/>
    <xf borderId="1" fillId="2" fontId="2" numFmtId="21" xfId="0" applyBorder="1" applyFill="1" applyFont="1" applyNumberFormat="1"/>
    <xf borderId="1" fillId="2" fontId="2" numFmtId="14" xfId="0" applyBorder="1" applyFill="1" applyFont="1" applyNumberFormat="1"/>
    <xf borderId="0" fillId="0" fontId="2" numFmtId="0" xfId="0" applyFont="1"/>
    <xf borderId="0" fillId="0" fontId="4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21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bormi.com/products/cropped-jeans" TargetMode="External"/><Relationship Id="rId42" Type="http://schemas.openxmlformats.org/officeDocument/2006/relationships/hyperlink" Target="https://xxchristmas.com/products/Christmastree" TargetMode="External"/><Relationship Id="rId41" Type="http://schemas.openxmlformats.org/officeDocument/2006/relationships/hyperlink" Target="https://obormi.com/products/cropped-jeans" TargetMode="External"/><Relationship Id="rId44" Type="http://schemas.openxmlformats.org/officeDocument/2006/relationships/hyperlink" Target="https://avylays.com/products/sandals" TargetMode="External"/><Relationship Id="rId43" Type="http://schemas.openxmlformats.org/officeDocument/2006/relationships/hyperlink" Target="https://shopfuny.com/products/vacuum" TargetMode="External"/><Relationship Id="rId46" Type="http://schemas.openxmlformats.org/officeDocument/2006/relationships/hyperlink" Target="https://mochiinii.com/products/tank-top" TargetMode="External"/><Relationship Id="rId45" Type="http://schemas.openxmlformats.org/officeDocument/2006/relationships/hyperlink" Target="https://agmonz.com/products/breasts" TargetMode="External"/><Relationship Id="rId1" Type="http://schemas.openxmlformats.org/officeDocument/2006/relationships/hyperlink" Target="https://nopehope.com/products/cankook" TargetMode="External"/><Relationship Id="rId2" Type="http://schemas.openxmlformats.org/officeDocument/2006/relationships/hyperlink" Target="https://extrafee.ontariocorps.com/products/extra-fee-19usd" TargetMode="External"/><Relationship Id="rId3" Type="http://schemas.openxmlformats.org/officeDocument/2006/relationships/hyperlink" Target="https://mall.quyocean.com/products/camera" TargetMode="External"/><Relationship Id="rId4" Type="http://schemas.openxmlformats.org/officeDocument/2006/relationships/hyperlink" Target="https://extrafee.ontariocorps.com/products/extra-fee-19usd" TargetMode="External"/><Relationship Id="rId9" Type="http://schemas.openxmlformats.org/officeDocument/2006/relationships/hyperlink" Target="https://shopfuny.com/products/vacuum" TargetMode="External"/><Relationship Id="rId48" Type="http://schemas.openxmlformats.org/officeDocument/2006/relationships/hyperlink" Target="https://avylays.com/products/sandals" TargetMode="External"/><Relationship Id="rId47" Type="http://schemas.openxmlformats.org/officeDocument/2006/relationships/hyperlink" Target="https://mall.agenale.com/products/drone" TargetMode="External"/><Relationship Id="rId49" Type="http://schemas.openxmlformats.org/officeDocument/2006/relationships/hyperlink" Target="https://agmonz.com/products/breasts" TargetMode="External"/><Relationship Id="rId5" Type="http://schemas.openxmlformats.org/officeDocument/2006/relationships/hyperlink" Target="https://heizune.com/products/versatile" TargetMode="External"/><Relationship Id="rId6" Type="http://schemas.openxmlformats.org/officeDocument/2006/relationships/hyperlink" Target="https://extrafee.ontariocorps.com/products/extra-fee-19usd" TargetMode="External"/><Relationship Id="rId7" Type="http://schemas.openxmlformats.org/officeDocument/2006/relationships/hyperlink" Target="https://extrafee.ontariocorps.com/products/extra-fee-20usd" TargetMode="External"/><Relationship Id="rId8" Type="http://schemas.openxmlformats.org/officeDocument/2006/relationships/hyperlink" Target="https://shopfuny.com/products/vacuum" TargetMode="External"/><Relationship Id="rId31" Type="http://schemas.openxmlformats.org/officeDocument/2006/relationships/hyperlink" Target="https://obormi.com/products/cropped-jeans" TargetMode="External"/><Relationship Id="rId30" Type="http://schemas.openxmlformats.org/officeDocument/2006/relationships/hyperlink" Target="https://obormi.com/products/cropped-jeans" TargetMode="External"/><Relationship Id="rId33" Type="http://schemas.openxmlformats.org/officeDocument/2006/relationships/hyperlink" Target="https://obormi.com/products/cropped-jeans" TargetMode="External"/><Relationship Id="rId32" Type="http://schemas.openxmlformats.org/officeDocument/2006/relationships/hyperlink" Target="https://obormi.com/products/cropped-jeans" TargetMode="External"/><Relationship Id="rId35" Type="http://schemas.openxmlformats.org/officeDocument/2006/relationships/hyperlink" Target="https://obormi.com/products/cropped-jeans" TargetMode="External"/><Relationship Id="rId34" Type="http://schemas.openxmlformats.org/officeDocument/2006/relationships/hyperlink" Target="https://shopfuny.com/products/vacuum" TargetMode="External"/><Relationship Id="rId37" Type="http://schemas.openxmlformats.org/officeDocument/2006/relationships/hyperlink" Target="https://obormi.com/products/cropped-jeans" TargetMode="External"/><Relationship Id="rId36" Type="http://schemas.openxmlformats.org/officeDocument/2006/relationships/hyperlink" Target="https://mochiinii.com/products/tank-top" TargetMode="External"/><Relationship Id="rId39" Type="http://schemas.openxmlformats.org/officeDocument/2006/relationships/hyperlink" Target="https://obormi.com/products/cropped-jeans" TargetMode="External"/><Relationship Id="rId38" Type="http://schemas.openxmlformats.org/officeDocument/2006/relationships/hyperlink" Target="https://obormi.com/products/cropped-jeans" TargetMode="External"/><Relationship Id="rId62" Type="http://schemas.openxmlformats.org/officeDocument/2006/relationships/hyperlink" Target="https://obormi.com/products/cropped-jeans" TargetMode="External"/><Relationship Id="rId61" Type="http://schemas.openxmlformats.org/officeDocument/2006/relationships/hyperlink" Target="https://mosteg.com/products/cropped-jeans" TargetMode="External"/><Relationship Id="rId20" Type="http://schemas.openxmlformats.org/officeDocument/2006/relationships/hyperlink" Target="https://mochiinii.com/products/tank-top" TargetMode="External"/><Relationship Id="rId64" Type="http://schemas.openxmlformats.org/officeDocument/2006/relationships/hyperlink" Target="https://mochiinii.com/products/tank-top" TargetMode="External"/><Relationship Id="rId63" Type="http://schemas.openxmlformats.org/officeDocument/2006/relationships/hyperlink" Target="https://gralos.com/products/gloves" TargetMode="External"/><Relationship Id="rId22" Type="http://schemas.openxmlformats.org/officeDocument/2006/relationships/hyperlink" Target="https://obormi.com/products/cropped-jeans" TargetMode="External"/><Relationship Id="rId21" Type="http://schemas.openxmlformats.org/officeDocument/2006/relationships/hyperlink" Target="https://mochiinii.com/products/tank-top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obormi.com/products/cropped-jeans" TargetMode="External"/><Relationship Id="rId23" Type="http://schemas.openxmlformats.org/officeDocument/2006/relationships/hyperlink" Target="https://shopfuny.com/products/vacuum" TargetMode="External"/><Relationship Id="rId60" Type="http://schemas.openxmlformats.org/officeDocument/2006/relationships/hyperlink" Target="https://obormi.com/products/cropped-jeans" TargetMode="External"/><Relationship Id="rId26" Type="http://schemas.openxmlformats.org/officeDocument/2006/relationships/hyperlink" Target="https://obormi.com/products/cropped-jeans" TargetMode="External"/><Relationship Id="rId25" Type="http://schemas.openxmlformats.org/officeDocument/2006/relationships/hyperlink" Target="https://obormi.com/products/cropped-jeans" TargetMode="External"/><Relationship Id="rId28" Type="http://schemas.openxmlformats.org/officeDocument/2006/relationships/hyperlink" Target="https://obormi.com/products/cropped-jeans" TargetMode="External"/><Relationship Id="rId27" Type="http://schemas.openxmlformats.org/officeDocument/2006/relationships/hyperlink" Target="https://obormi.com/products/cropped-jeans" TargetMode="External"/><Relationship Id="rId29" Type="http://schemas.openxmlformats.org/officeDocument/2006/relationships/hyperlink" Target="https://obormi.com/products/cropped-jeans" TargetMode="External"/><Relationship Id="rId51" Type="http://schemas.openxmlformats.org/officeDocument/2006/relationships/hyperlink" Target="https://mochiinii.com/products/tank-top" TargetMode="External"/><Relationship Id="rId50" Type="http://schemas.openxmlformats.org/officeDocument/2006/relationships/hyperlink" Target="https://agmonz.com/products/breasts" TargetMode="External"/><Relationship Id="rId53" Type="http://schemas.openxmlformats.org/officeDocument/2006/relationships/hyperlink" Target="https://mochiinii.com/products/tank-top" TargetMode="External"/><Relationship Id="rId52" Type="http://schemas.openxmlformats.org/officeDocument/2006/relationships/hyperlink" Target="https://coxist-us.com/products/health-monitor" TargetMode="External"/><Relationship Id="rId11" Type="http://schemas.openxmlformats.org/officeDocument/2006/relationships/hyperlink" Target="https://mochiinii.com/products/tank-top" TargetMode="External"/><Relationship Id="rId55" Type="http://schemas.openxmlformats.org/officeDocument/2006/relationships/hyperlink" Target="https://agmonz.com/products/breasts" TargetMode="External"/><Relationship Id="rId10" Type="http://schemas.openxmlformats.org/officeDocument/2006/relationships/hyperlink" Target="https://mochiinii.com/products/tank-top" TargetMode="External"/><Relationship Id="rId54" Type="http://schemas.openxmlformats.org/officeDocument/2006/relationships/hyperlink" Target="https://soothesoles.store/products/sooothesoles" TargetMode="External"/><Relationship Id="rId13" Type="http://schemas.openxmlformats.org/officeDocument/2006/relationships/hyperlink" Target="https://mochiinii.com/products/tank-top" TargetMode="External"/><Relationship Id="rId57" Type="http://schemas.openxmlformats.org/officeDocument/2006/relationships/hyperlink" Target="https://mochiinii.com/products/tank-top" TargetMode="External"/><Relationship Id="rId12" Type="http://schemas.openxmlformats.org/officeDocument/2006/relationships/hyperlink" Target="https://mochiinii.com/products/tank-top" TargetMode="External"/><Relationship Id="rId56" Type="http://schemas.openxmlformats.org/officeDocument/2006/relationships/hyperlink" Target="https://obormi.com/products/cropped-jeans" TargetMode="External"/><Relationship Id="rId15" Type="http://schemas.openxmlformats.org/officeDocument/2006/relationships/hyperlink" Target="https://mochiinii.com/products/tank-top" TargetMode="External"/><Relationship Id="rId59" Type="http://schemas.openxmlformats.org/officeDocument/2006/relationships/hyperlink" Target="https://obormi.com/products/cropped-jeans" TargetMode="External"/><Relationship Id="rId14" Type="http://schemas.openxmlformats.org/officeDocument/2006/relationships/hyperlink" Target="https://shopfuny.com/products/vacuum" TargetMode="External"/><Relationship Id="rId58" Type="http://schemas.openxmlformats.org/officeDocument/2006/relationships/hyperlink" Target="https://xxchristmas.com/products/Christmastree" TargetMode="External"/><Relationship Id="rId17" Type="http://schemas.openxmlformats.org/officeDocument/2006/relationships/hyperlink" Target="https://mochiinii.com/products/tank-top" TargetMode="External"/><Relationship Id="rId16" Type="http://schemas.openxmlformats.org/officeDocument/2006/relationships/hyperlink" Target="https://mochiinii.com/products/tank-top" TargetMode="External"/><Relationship Id="rId19" Type="http://schemas.openxmlformats.org/officeDocument/2006/relationships/hyperlink" Target="https://shopfuny.com/products/vacuum" TargetMode="External"/><Relationship Id="rId18" Type="http://schemas.openxmlformats.org/officeDocument/2006/relationships/hyperlink" Target="https://mochiinii.com/products/tank-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25"/>
    <col customWidth="1" min="3" max="3" width="8.63"/>
    <col customWidth="1" min="4" max="4" width="11.63"/>
    <col customWidth="1" min="5" max="7" width="8.63"/>
    <col customWidth="1" min="8" max="8" width="11.13"/>
    <col customWidth="1" min="9" max="9" width="12.38"/>
    <col customWidth="1" min="10" max="10" width="18.25"/>
    <col customWidth="1" min="11" max="41" width="8.63"/>
    <col customWidth="1" min="42" max="42" width="22.25"/>
    <col customWidth="1" min="43" max="4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/>
      <c r="AV1" s="1"/>
    </row>
    <row r="2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3" t="s">
        <v>51</v>
      </c>
      <c r="G2" s="2">
        <v>1.0</v>
      </c>
      <c r="H2" s="2" t="s">
        <v>52</v>
      </c>
      <c r="I2" s="2" t="s">
        <v>53</v>
      </c>
      <c r="J2" s="4">
        <v>45980.240335648145</v>
      </c>
      <c r="K2" s="4">
        <v>45980.08917824074</v>
      </c>
      <c r="L2" s="5">
        <v>45980.0</v>
      </c>
      <c r="M2" s="5">
        <v>45980.0</v>
      </c>
      <c r="N2" s="6">
        <v>0.24033564814814815</v>
      </c>
      <c r="O2" s="6">
        <v>0.08917824074074074</v>
      </c>
      <c r="P2" s="2"/>
      <c r="Q2" s="2"/>
      <c r="R2" s="2"/>
      <c r="S2" s="2">
        <v>8.35</v>
      </c>
      <c r="T2" s="2">
        <v>4.99</v>
      </c>
      <c r="U2" s="2">
        <v>13.34</v>
      </c>
      <c r="V2" s="2" t="s">
        <v>54</v>
      </c>
      <c r="W2" s="2" t="s">
        <v>55</v>
      </c>
      <c r="X2" s="2" t="s">
        <v>56</v>
      </c>
      <c r="Y2" s="2"/>
      <c r="Z2" s="2">
        <f>15928912301</f>
        <v>15928912301</v>
      </c>
      <c r="AA2" s="2" t="s">
        <v>57</v>
      </c>
      <c r="AB2" s="2" t="s">
        <v>58</v>
      </c>
      <c r="AC2" s="2" t="s">
        <v>59</v>
      </c>
      <c r="AD2" s="2">
        <v>90001.0</v>
      </c>
      <c r="AE2" s="2" t="s">
        <v>59</v>
      </c>
      <c r="AF2" s="2" t="s">
        <v>58</v>
      </c>
      <c r="AG2" s="2" t="s">
        <v>60</v>
      </c>
      <c r="AH2" s="2" t="s">
        <v>61</v>
      </c>
      <c r="AI2" s="2"/>
      <c r="AJ2" s="2"/>
      <c r="AK2" s="2" t="s">
        <v>49</v>
      </c>
      <c r="AL2" s="2"/>
      <c r="AM2" s="2">
        <v>1.0</v>
      </c>
      <c r="AN2" s="2">
        <v>7.1</v>
      </c>
      <c r="AO2" s="2">
        <v>591.0</v>
      </c>
      <c r="AP2" s="2" t="s">
        <v>62</v>
      </c>
      <c r="AQ2" s="2" t="s">
        <v>63</v>
      </c>
      <c r="AR2" s="2">
        <v>9.1</v>
      </c>
      <c r="AS2" s="2">
        <v>0.0</v>
      </c>
      <c r="AT2" s="2">
        <v>0.0</v>
      </c>
      <c r="AU2" s="2"/>
      <c r="AV2" s="2"/>
    </row>
    <row r="3">
      <c r="A3" s="2" t="s">
        <v>64</v>
      </c>
      <c r="B3" s="2" t="s">
        <v>65</v>
      </c>
      <c r="C3" s="2" t="s">
        <v>66</v>
      </c>
      <c r="D3" s="2" t="s">
        <v>67</v>
      </c>
      <c r="E3" s="2" t="s">
        <v>68</v>
      </c>
      <c r="F3" s="3" t="s">
        <v>69</v>
      </c>
      <c r="G3" s="2">
        <v>1.0</v>
      </c>
      <c r="H3" s="2" t="s">
        <v>70</v>
      </c>
      <c r="I3" s="2" t="s">
        <v>71</v>
      </c>
      <c r="J3" s="4">
        <v>45984.74659722222</v>
      </c>
      <c r="K3" s="4">
        <v>45982.246979166666</v>
      </c>
      <c r="L3" s="5">
        <v>45984.0</v>
      </c>
      <c r="M3" s="5">
        <v>45982.0</v>
      </c>
      <c r="N3" s="6">
        <v>0.7465972222222222</v>
      </c>
      <c r="O3" s="6">
        <v>0.24697916666666667</v>
      </c>
      <c r="P3" s="7">
        <v>45985.0</v>
      </c>
      <c r="Q3" s="2" t="s">
        <v>72</v>
      </c>
      <c r="R3" s="2" t="s">
        <v>73</v>
      </c>
      <c r="S3" s="2">
        <v>19.0</v>
      </c>
      <c r="T3" s="2">
        <v>1.0</v>
      </c>
      <c r="U3" s="2">
        <v>20.0</v>
      </c>
      <c r="V3" s="2" t="s">
        <v>74</v>
      </c>
      <c r="W3" s="2" t="s">
        <v>75</v>
      </c>
      <c r="X3" s="2" t="s">
        <v>76</v>
      </c>
      <c r="Y3" s="2"/>
      <c r="Z3" s="2">
        <f>19206766760</f>
        <v>19206766760</v>
      </c>
      <c r="AA3" s="2" t="s">
        <v>77</v>
      </c>
      <c r="AB3" s="2" t="s">
        <v>78</v>
      </c>
      <c r="AC3" s="2" t="s">
        <v>59</v>
      </c>
      <c r="AD3" s="2">
        <v>54311.0</v>
      </c>
      <c r="AE3" s="2" t="s">
        <v>59</v>
      </c>
      <c r="AF3" s="2" t="s">
        <v>78</v>
      </c>
      <c r="AG3" s="2" t="s">
        <v>79</v>
      </c>
      <c r="AH3" s="2" t="s">
        <v>80</v>
      </c>
      <c r="AI3" s="2"/>
      <c r="AJ3" s="2"/>
      <c r="AK3" s="2" t="s">
        <v>81</v>
      </c>
      <c r="AL3" s="2"/>
      <c r="AM3" s="2">
        <v>1.0</v>
      </c>
      <c r="AN3" s="2">
        <v>1.0</v>
      </c>
      <c r="AO3" s="2">
        <v>591.0</v>
      </c>
      <c r="AP3" s="2" t="s">
        <v>62</v>
      </c>
      <c r="AQ3" s="2" t="s">
        <v>63</v>
      </c>
      <c r="AR3" s="2">
        <v>4.0</v>
      </c>
      <c r="AS3" s="2">
        <v>0.0</v>
      </c>
      <c r="AT3" s="2">
        <v>0.0</v>
      </c>
      <c r="AU3" s="2"/>
      <c r="AV3" s="2"/>
    </row>
    <row r="4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3" t="s">
        <v>87</v>
      </c>
      <c r="G4" s="2">
        <v>1.0</v>
      </c>
      <c r="H4" s="2" t="s">
        <v>88</v>
      </c>
      <c r="I4" s="2" t="s">
        <v>53</v>
      </c>
      <c r="J4" s="4">
        <v>45982.344930555555</v>
      </c>
      <c r="K4" s="4">
        <v>45982.33599537037</v>
      </c>
      <c r="L4" s="5">
        <v>45982.0</v>
      </c>
      <c r="M4" s="5">
        <v>45982.0</v>
      </c>
      <c r="N4" s="6">
        <v>0.3449305555555556</v>
      </c>
      <c r="O4" s="6">
        <v>0.33599537037037036</v>
      </c>
      <c r="P4" s="2"/>
      <c r="Q4" s="2"/>
      <c r="R4" s="2"/>
      <c r="S4" s="2">
        <v>52.99</v>
      </c>
      <c r="T4" s="2">
        <v>4.99</v>
      </c>
      <c r="U4" s="2">
        <v>57.98</v>
      </c>
      <c r="V4" s="2" t="s">
        <v>89</v>
      </c>
      <c r="W4" s="2" t="s">
        <v>90</v>
      </c>
      <c r="X4" s="2" t="s">
        <v>91</v>
      </c>
      <c r="Y4" s="2" t="s">
        <v>92</v>
      </c>
      <c r="Z4" s="2"/>
      <c r="AA4" s="2" t="s">
        <v>93</v>
      </c>
      <c r="AB4" s="2" t="s">
        <v>93</v>
      </c>
      <c r="AC4" s="2" t="s">
        <v>94</v>
      </c>
      <c r="AD4" s="2">
        <v>12619.0</v>
      </c>
      <c r="AE4" s="2" t="s">
        <v>94</v>
      </c>
      <c r="AF4" s="2" t="s">
        <v>93</v>
      </c>
      <c r="AG4" s="2" t="s">
        <v>95</v>
      </c>
      <c r="AH4" s="2" t="s">
        <v>96</v>
      </c>
      <c r="AI4" s="2"/>
      <c r="AJ4" s="2"/>
      <c r="AK4" s="2" t="s">
        <v>97</v>
      </c>
      <c r="AL4" s="2"/>
      <c r="AM4" s="2">
        <v>1.0</v>
      </c>
      <c r="AN4" s="2">
        <v>7.53</v>
      </c>
      <c r="AO4" s="2">
        <v>591.0</v>
      </c>
      <c r="AP4" s="2" t="s">
        <v>62</v>
      </c>
      <c r="AQ4" s="2" t="s">
        <v>63</v>
      </c>
      <c r="AR4" s="2">
        <v>16.23</v>
      </c>
      <c r="AS4" s="2">
        <v>0.0</v>
      </c>
      <c r="AT4" s="2">
        <v>0.0</v>
      </c>
      <c r="AU4" s="2"/>
      <c r="AV4" s="2"/>
    </row>
    <row r="5">
      <c r="A5" s="2" t="s">
        <v>98</v>
      </c>
      <c r="B5" s="2" t="s">
        <v>99</v>
      </c>
      <c r="C5" s="2" t="s">
        <v>66</v>
      </c>
      <c r="D5" s="2" t="s">
        <v>67</v>
      </c>
      <c r="E5" s="2" t="s">
        <v>68</v>
      </c>
      <c r="F5" s="3" t="s">
        <v>69</v>
      </c>
      <c r="G5" s="2">
        <v>1.0</v>
      </c>
      <c r="H5" s="2" t="s">
        <v>70</v>
      </c>
      <c r="I5" s="2" t="s">
        <v>71</v>
      </c>
      <c r="J5" s="4">
        <v>45984.74659722222</v>
      </c>
      <c r="K5" s="4">
        <v>45982.49537037037</v>
      </c>
      <c r="L5" s="5">
        <v>45984.0</v>
      </c>
      <c r="M5" s="5">
        <v>45982.0</v>
      </c>
      <c r="N5" s="6">
        <v>0.7465972222222222</v>
      </c>
      <c r="O5" s="6">
        <v>0.49537037037037035</v>
      </c>
      <c r="P5" s="7">
        <v>45985.0</v>
      </c>
      <c r="Q5" s="2" t="s">
        <v>100</v>
      </c>
      <c r="R5" s="2" t="s">
        <v>73</v>
      </c>
      <c r="S5" s="2">
        <v>19.0</v>
      </c>
      <c r="T5" s="2">
        <v>1.0</v>
      </c>
      <c r="U5" s="2">
        <v>20.0</v>
      </c>
      <c r="V5" s="2" t="s">
        <v>101</v>
      </c>
      <c r="W5" s="2" t="s">
        <v>102</v>
      </c>
      <c r="X5" s="2" t="s">
        <v>103</v>
      </c>
      <c r="Y5" s="2"/>
      <c r="Z5" s="2"/>
      <c r="AA5" s="2" t="s">
        <v>104</v>
      </c>
      <c r="AB5" s="2" t="s">
        <v>105</v>
      </c>
      <c r="AC5" s="2" t="s">
        <v>59</v>
      </c>
      <c r="AD5" s="2">
        <v>48180.0</v>
      </c>
      <c r="AE5" s="2" t="s">
        <v>59</v>
      </c>
      <c r="AF5" s="2" t="s">
        <v>105</v>
      </c>
      <c r="AG5" s="2" t="s">
        <v>79</v>
      </c>
      <c r="AH5" s="2" t="s">
        <v>106</v>
      </c>
      <c r="AI5" s="2"/>
      <c r="AJ5" s="2"/>
      <c r="AK5" s="2" t="s">
        <v>81</v>
      </c>
      <c r="AL5" s="2"/>
      <c r="AM5" s="2">
        <v>1.0</v>
      </c>
      <c r="AN5" s="2">
        <v>1.0</v>
      </c>
      <c r="AO5" s="2">
        <v>591.0</v>
      </c>
      <c r="AP5" s="2" t="s">
        <v>62</v>
      </c>
      <c r="AQ5" s="2" t="s">
        <v>63</v>
      </c>
      <c r="AR5" s="2">
        <v>4.0</v>
      </c>
      <c r="AS5" s="2">
        <v>0.0</v>
      </c>
      <c r="AT5" s="2">
        <v>0.0</v>
      </c>
      <c r="AU5" s="2"/>
      <c r="AV5" s="2"/>
    </row>
    <row r="6">
      <c r="A6" s="2" t="s">
        <v>107</v>
      </c>
      <c r="B6" s="2" t="s">
        <v>108</v>
      </c>
      <c r="C6" s="2" t="s">
        <v>109</v>
      </c>
      <c r="D6" s="2" t="s">
        <v>110</v>
      </c>
      <c r="E6" s="2" t="s">
        <v>111</v>
      </c>
      <c r="F6" s="3" t="s">
        <v>112</v>
      </c>
      <c r="G6" s="2">
        <v>1.0</v>
      </c>
      <c r="H6" s="2" t="s">
        <v>113</v>
      </c>
      <c r="I6" s="2" t="s">
        <v>53</v>
      </c>
      <c r="J6" s="4">
        <v>45984.74349537037</v>
      </c>
      <c r="K6" s="4">
        <v>45984.69517361111</v>
      </c>
      <c r="L6" s="5">
        <v>45984.0</v>
      </c>
      <c r="M6" s="5">
        <v>45984.0</v>
      </c>
      <c r="N6" s="6">
        <v>0.7434953703703704</v>
      </c>
      <c r="O6" s="6">
        <v>0.6951736111111111</v>
      </c>
      <c r="P6" s="2"/>
      <c r="Q6" s="2"/>
      <c r="R6" s="2"/>
      <c r="S6" s="2">
        <v>35.99</v>
      </c>
      <c r="T6" s="2">
        <v>4.99</v>
      </c>
      <c r="U6" s="2">
        <v>40.98</v>
      </c>
      <c r="V6" s="2" t="s">
        <v>114</v>
      </c>
      <c r="W6" s="2" t="s">
        <v>115</v>
      </c>
      <c r="X6" s="2" t="s">
        <v>116</v>
      </c>
      <c r="Y6" s="2"/>
      <c r="Z6" s="2"/>
      <c r="AA6" s="2" t="s">
        <v>117</v>
      </c>
      <c r="AB6" s="2" t="s">
        <v>105</v>
      </c>
      <c r="AC6" s="2" t="s">
        <v>59</v>
      </c>
      <c r="AD6" s="2">
        <v>4005.0</v>
      </c>
      <c r="AE6" s="2" t="s">
        <v>59</v>
      </c>
      <c r="AF6" s="2" t="s">
        <v>105</v>
      </c>
      <c r="AG6" s="2" t="s">
        <v>118</v>
      </c>
      <c r="AH6" s="2" t="s">
        <v>119</v>
      </c>
      <c r="AI6" s="2"/>
      <c r="AJ6" s="2"/>
      <c r="AK6" s="2" t="s">
        <v>110</v>
      </c>
      <c r="AL6" s="2"/>
      <c r="AM6" s="2">
        <v>1.0</v>
      </c>
      <c r="AN6" s="2">
        <v>12.3</v>
      </c>
      <c r="AO6" s="2">
        <v>591.0</v>
      </c>
      <c r="AP6" s="2" t="s">
        <v>62</v>
      </c>
      <c r="AQ6" s="2" t="s">
        <v>63</v>
      </c>
      <c r="AR6" s="2">
        <v>18.45</v>
      </c>
      <c r="AS6" s="2">
        <v>0.0</v>
      </c>
      <c r="AT6" s="2">
        <v>0.0</v>
      </c>
      <c r="AU6" s="2"/>
      <c r="AV6" s="2"/>
    </row>
    <row r="7">
      <c r="A7" s="2" t="s">
        <v>120</v>
      </c>
      <c r="B7" s="2" t="s">
        <v>121</v>
      </c>
      <c r="C7" s="2" t="s">
        <v>66</v>
      </c>
      <c r="D7" s="2" t="s">
        <v>67</v>
      </c>
      <c r="E7" s="2" t="s">
        <v>68</v>
      </c>
      <c r="F7" s="3" t="s">
        <v>69</v>
      </c>
      <c r="G7" s="2">
        <v>1.0</v>
      </c>
      <c r="H7" s="2" t="s">
        <v>70</v>
      </c>
      <c r="I7" s="2" t="s">
        <v>71</v>
      </c>
      <c r="J7" s="4">
        <v>45986.767384259256</v>
      </c>
      <c r="K7" s="4">
        <v>45985.96854166667</v>
      </c>
      <c r="L7" s="5">
        <v>45986.0</v>
      </c>
      <c r="M7" s="5">
        <v>45985.0</v>
      </c>
      <c r="N7" s="6">
        <v>0.7673842592592592</v>
      </c>
      <c r="O7" s="6">
        <v>0.9685416666666666</v>
      </c>
      <c r="P7" s="7">
        <v>45987.0</v>
      </c>
      <c r="Q7" s="2" t="s">
        <v>122</v>
      </c>
      <c r="R7" s="2" t="s">
        <v>73</v>
      </c>
      <c r="S7" s="2">
        <v>19.0</v>
      </c>
      <c r="T7" s="2">
        <v>0.0</v>
      </c>
      <c r="U7" s="2">
        <v>19.0</v>
      </c>
      <c r="V7" s="2" t="s">
        <v>123</v>
      </c>
      <c r="W7" s="2" t="s">
        <v>124</v>
      </c>
      <c r="X7" s="2" t="s">
        <v>125</v>
      </c>
      <c r="Y7" s="2"/>
      <c r="Z7" s="2"/>
      <c r="AA7" s="2" t="s">
        <v>126</v>
      </c>
      <c r="AB7" s="2" t="s">
        <v>127</v>
      </c>
      <c r="AC7" s="2" t="s">
        <v>59</v>
      </c>
      <c r="AD7" s="2">
        <v>96701.0</v>
      </c>
      <c r="AE7" s="2" t="s">
        <v>59</v>
      </c>
      <c r="AF7" s="2" t="s">
        <v>127</v>
      </c>
      <c r="AG7" s="2" t="s">
        <v>79</v>
      </c>
      <c r="AH7" s="2" t="s">
        <v>128</v>
      </c>
      <c r="AI7" s="2"/>
      <c r="AJ7" s="2"/>
      <c r="AK7" s="2" t="s">
        <v>81</v>
      </c>
      <c r="AL7" s="2"/>
      <c r="AM7" s="2">
        <v>1.0</v>
      </c>
      <c r="AN7" s="2">
        <v>1.0</v>
      </c>
      <c r="AO7" s="2">
        <v>591.0</v>
      </c>
      <c r="AP7" s="2" t="s">
        <v>62</v>
      </c>
      <c r="AQ7" s="2" t="s">
        <v>63</v>
      </c>
      <c r="AR7" s="2">
        <v>3.85</v>
      </c>
      <c r="AS7" s="2">
        <v>0.0</v>
      </c>
      <c r="AT7" s="2">
        <v>0.0</v>
      </c>
      <c r="AU7" s="2"/>
      <c r="AV7" s="2"/>
    </row>
    <row r="8">
      <c r="A8" s="2" t="s">
        <v>129</v>
      </c>
      <c r="B8" s="2" t="s">
        <v>130</v>
      </c>
      <c r="C8" s="2" t="s">
        <v>131</v>
      </c>
      <c r="D8" s="2" t="s">
        <v>132</v>
      </c>
      <c r="E8" s="2" t="s">
        <v>133</v>
      </c>
      <c r="F8" s="3" t="s">
        <v>134</v>
      </c>
      <c r="G8" s="2">
        <v>1.0</v>
      </c>
      <c r="H8" s="2" t="s">
        <v>70</v>
      </c>
      <c r="I8" s="2" t="s">
        <v>71</v>
      </c>
      <c r="J8" s="4">
        <v>45987.77831018518</v>
      </c>
      <c r="K8" s="4">
        <v>45986.70347222222</v>
      </c>
      <c r="L8" s="5">
        <v>45987.0</v>
      </c>
      <c r="M8" s="5">
        <v>45986.0</v>
      </c>
      <c r="N8" s="6">
        <v>0.7783101851851851</v>
      </c>
      <c r="O8" s="6">
        <v>0.7034722222222223</v>
      </c>
      <c r="P8" s="7">
        <v>45988.0</v>
      </c>
      <c r="Q8" s="2" t="s">
        <v>135</v>
      </c>
      <c r="R8" s="2" t="s">
        <v>73</v>
      </c>
      <c r="S8" s="2">
        <v>20.0</v>
      </c>
      <c r="T8" s="2">
        <v>0.0</v>
      </c>
      <c r="U8" s="2">
        <v>20.0</v>
      </c>
      <c r="V8" s="2" t="s">
        <v>136</v>
      </c>
      <c r="W8" s="2" t="s">
        <v>137</v>
      </c>
      <c r="X8" s="2" t="s">
        <v>138</v>
      </c>
      <c r="Y8" s="2" t="s">
        <v>139</v>
      </c>
      <c r="Z8" s="2"/>
      <c r="AA8" s="2" t="s">
        <v>140</v>
      </c>
      <c r="AB8" s="2" t="s">
        <v>58</v>
      </c>
      <c r="AC8" s="2" t="s">
        <v>59</v>
      </c>
      <c r="AD8" s="2">
        <v>91801.0</v>
      </c>
      <c r="AE8" s="2" t="s">
        <v>59</v>
      </c>
      <c r="AF8" s="2" t="s">
        <v>58</v>
      </c>
      <c r="AG8" s="2" t="s">
        <v>79</v>
      </c>
      <c r="AH8" s="2" t="s">
        <v>141</v>
      </c>
      <c r="AI8" s="2"/>
      <c r="AJ8" s="2"/>
      <c r="AK8" s="2" t="s">
        <v>81</v>
      </c>
      <c r="AL8" s="2"/>
      <c r="AM8" s="2">
        <v>1.0</v>
      </c>
      <c r="AN8" s="2">
        <v>1.0</v>
      </c>
      <c r="AO8" s="2">
        <v>591.0</v>
      </c>
      <c r="AP8" s="2" t="s">
        <v>62</v>
      </c>
      <c r="AQ8" s="2" t="s">
        <v>63</v>
      </c>
      <c r="AR8" s="2">
        <v>4.0</v>
      </c>
      <c r="AS8" s="2">
        <v>0.0</v>
      </c>
      <c r="AT8" s="2">
        <v>0.0</v>
      </c>
      <c r="AU8" s="2"/>
      <c r="AV8" s="2"/>
    </row>
    <row r="9">
      <c r="A9" s="8" t="s">
        <v>142</v>
      </c>
      <c r="B9" s="8" t="s">
        <v>143</v>
      </c>
      <c r="C9" s="8" t="s">
        <v>144</v>
      </c>
      <c r="D9" s="8" t="s">
        <v>145</v>
      </c>
      <c r="E9" s="8" t="s">
        <v>146</v>
      </c>
      <c r="F9" s="9" t="s">
        <v>147</v>
      </c>
      <c r="G9" s="8">
        <v>1.0</v>
      </c>
      <c r="H9" s="8" t="s">
        <v>148</v>
      </c>
      <c r="I9" s="8" t="s">
        <v>53</v>
      </c>
      <c r="J9" s="10">
        <v>45978.85434027778</v>
      </c>
      <c r="K9" s="10">
        <v>45978.229583333334</v>
      </c>
      <c r="L9" s="11">
        <v>45978.0</v>
      </c>
      <c r="M9" s="11">
        <v>45978.0</v>
      </c>
      <c r="N9" s="12">
        <v>0.8543402777777778</v>
      </c>
      <c r="O9" s="12">
        <v>0.22958333333333333</v>
      </c>
      <c r="S9" s="8">
        <v>36.95</v>
      </c>
      <c r="T9" s="8">
        <v>4.99</v>
      </c>
      <c r="U9" s="8">
        <v>41.94</v>
      </c>
      <c r="V9" s="8" t="s">
        <v>149</v>
      </c>
      <c r="W9" s="8" t="s">
        <v>150</v>
      </c>
      <c r="X9" s="8" t="s">
        <v>151</v>
      </c>
      <c r="AA9" s="8" t="s">
        <v>152</v>
      </c>
      <c r="AB9" s="8" t="s">
        <v>153</v>
      </c>
      <c r="AC9" s="8" t="s">
        <v>59</v>
      </c>
      <c r="AD9" s="8">
        <v>33415.0</v>
      </c>
      <c r="AE9" s="8" t="s">
        <v>59</v>
      </c>
      <c r="AF9" s="8" t="s">
        <v>153</v>
      </c>
      <c r="AG9" s="8" t="s">
        <v>154</v>
      </c>
      <c r="AH9" s="8" t="s">
        <v>155</v>
      </c>
      <c r="AI9" s="8">
        <v>28.49</v>
      </c>
      <c r="AK9" s="8" t="s">
        <v>156</v>
      </c>
      <c r="AM9" s="8">
        <v>1.0</v>
      </c>
      <c r="AN9" s="8">
        <v>8.0</v>
      </c>
      <c r="AO9" s="8">
        <v>591.0</v>
      </c>
      <c r="AP9" s="8" t="s">
        <v>62</v>
      </c>
      <c r="AQ9" s="8" t="s">
        <v>63</v>
      </c>
      <c r="AR9" s="8">
        <v>13.45</v>
      </c>
      <c r="AS9" s="8">
        <v>0.0</v>
      </c>
      <c r="AT9" s="8">
        <v>2.94</v>
      </c>
      <c r="AU9" s="8"/>
      <c r="AV9" s="8"/>
    </row>
    <row r="10">
      <c r="A10" s="8" t="s">
        <v>157</v>
      </c>
      <c r="B10" s="8" t="s">
        <v>158</v>
      </c>
      <c r="C10" s="8" t="s">
        <v>159</v>
      </c>
      <c r="D10" s="8" t="s">
        <v>145</v>
      </c>
      <c r="E10" s="8" t="s">
        <v>160</v>
      </c>
      <c r="F10" s="9" t="s">
        <v>147</v>
      </c>
      <c r="G10" s="8">
        <v>1.0</v>
      </c>
      <c r="H10" s="8" t="s">
        <v>148</v>
      </c>
      <c r="I10" s="8" t="s">
        <v>71</v>
      </c>
      <c r="J10" s="10">
        <v>45980.86315972222</v>
      </c>
      <c r="K10" s="10">
        <v>45979.101956018516</v>
      </c>
      <c r="L10" s="11">
        <v>45980.0</v>
      </c>
      <c r="M10" s="11">
        <v>45979.0</v>
      </c>
      <c r="N10" s="12">
        <v>0.8631597222222223</v>
      </c>
      <c r="O10" s="12">
        <v>0.10195601851851852</v>
      </c>
      <c r="P10" s="13">
        <v>45981.0</v>
      </c>
      <c r="Q10" s="8" t="s">
        <v>161</v>
      </c>
      <c r="R10" s="8" t="s">
        <v>73</v>
      </c>
      <c r="S10" s="8">
        <v>41.95</v>
      </c>
      <c r="T10" s="8">
        <v>4.99</v>
      </c>
      <c r="U10" s="8">
        <v>46.94</v>
      </c>
      <c r="V10" s="8" t="s">
        <v>162</v>
      </c>
      <c r="W10" s="8" t="s">
        <v>163</v>
      </c>
      <c r="X10" s="8" t="s">
        <v>164</v>
      </c>
      <c r="Z10" s="8">
        <f>16414200547</f>
        <v>16414200547</v>
      </c>
      <c r="AA10" s="8" t="s">
        <v>165</v>
      </c>
      <c r="AB10" s="8" t="s">
        <v>166</v>
      </c>
      <c r="AC10" s="8" t="s">
        <v>59</v>
      </c>
      <c r="AD10" s="8">
        <v>50401.0</v>
      </c>
      <c r="AE10" s="8" t="s">
        <v>59</v>
      </c>
      <c r="AF10" s="8" t="s">
        <v>166</v>
      </c>
      <c r="AG10" s="8" t="s">
        <v>154</v>
      </c>
      <c r="AH10" s="8" t="s">
        <v>167</v>
      </c>
      <c r="AI10" s="8">
        <v>29.34</v>
      </c>
      <c r="AK10" s="8" t="s">
        <v>156</v>
      </c>
      <c r="AM10" s="8">
        <v>1.0</v>
      </c>
      <c r="AN10" s="8">
        <v>11.5</v>
      </c>
      <c r="AO10" s="8">
        <v>591.0</v>
      </c>
      <c r="AP10" s="8" t="s">
        <v>62</v>
      </c>
      <c r="AQ10" s="8" t="s">
        <v>63</v>
      </c>
      <c r="AR10" s="8">
        <v>17.6</v>
      </c>
      <c r="AS10" s="8">
        <v>0.0</v>
      </c>
      <c r="AT10" s="8">
        <v>0.0</v>
      </c>
      <c r="AU10" s="8"/>
      <c r="AV10" s="8"/>
    </row>
    <row r="11">
      <c r="A11" s="8" t="s">
        <v>168</v>
      </c>
      <c r="B11" s="8" t="s">
        <v>169</v>
      </c>
      <c r="C11" s="8" t="s">
        <v>170</v>
      </c>
      <c r="D11" s="8" t="s">
        <v>171</v>
      </c>
      <c r="E11" s="8" t="s">
        <v>172</v>
      </c>
      <c r="F11" s="9" t="s">
        <v>173</v>
      </c>
      <c r="G11" s="8">
        <v>1.0</v>
      </c>
      <c r="H11" s="8" t="s">
        <v>174</v>
      </c>
      <c r="I11" s="8" t="s">
        <v>71</v>
      </c>
      <c r="J11" s="10">
        <v>45980.86336805556</v>
      </c>
      <c r="K11" s="10">
        <v>45979.190416666665</v>
      </c>
      <c r="L11" s="11">
        <v>45980.0</v>
      </c>
      <c r="M11" s="11">
        <v>45979.0</v>
      </c>
      <c r="N11" s="12">
        <v>0.8633680555555555</v>
      </c>
      <c r="O11" s="12">
        <v>0.19041666666666668</v>
      </c>
      <c r="P11" s="13">
        <v>45981.0</v>
      </c>
      <c r="Q11" s="8" t="s">
        <v>175</v>
      </c>
      <c r="R11" s="8" t="s">
        <v>73</v>
      </c>
      <c r="S11" s="8">
        <v>34.99</v>
      </c>
      <c r="T11" s="8">
        <v>4.99</v>
      </c>
      <c r="U11" s="8">
        <v>39.98</v>
      </c>
      <c r="V11" s="8" t="s">
        <v>176</v>
      </c>
      <c r="W11" s="8" t="s">
        <v>177</v>
      </c>
      <c r="X11" s="8" t="s">
        <v>178</v>
      </c>
      <c r="Z11" s="8">
        <f>16194543259</f>
        <v>16194543259</v>
      </c>
      <c r="AA11" s="8" t="s">
        <v>179</v>
      </c>
      <c r="AB11" s="8" t="s">
        <v>58</v>
      </c>
      <c r="AC11" s="8" t="s">
        <v>59</v>
      </c>
      <c r="AD11" s="8">
        <v>91910.0</v>
      </c>
      <c r="AE11" s="8" t="s">
        <v>59</v>
      </c>
      <c r="AF11" s="8" t="s">
        <v>58</v>
      </c>
      <c r="AG11" s="8" t="s">
        <v>180</v>
      </c>
      <c r="AH11" s="8" t="s">
        <v>181</v>
      </c>
      <c r="AI11" s="8">
        <v>28.42</v>
      </c>
      <c r="AK11" s="8" t="s">
        <v>182</v>
      </c>
      <c r="AM11" s="8">
        <v>1.0</v>
      </c>
      <c r="AN11" s="8">
        <v>6.36</v>
      </c>
      <c r="AO11" s="8">
        <v>591.0</v>
      </c>
      <c r="AP11" s="8" t="s">
        <v>62</v>
      </c>
      <c r="AQ11" s="8" t="s">
        <v>63</v>
      </c>
      <c r="AR11" s="8">
        <v>11.56</v>
      </c>
      <c r="AS11" s="8">
        <v>0.0</v>
      </c>
      <c r="AT11" s="8">
        <v>0.0</v>
      </c>
      <c r="AU11" s="8"/>
      <c r="AV11" s="8"/>
    </row>
    <row r="12">
      <c r="A12" s="8" t="s">
        <v>183</v>
      </c>
      <c r="B12" s="8" t="s">
        <v>184</v>
      </c>
      <c r="C12" s="8" t="s">
        <v>185</v>
      </c>
      <c r="D12" s="8" t="s">
        <v>171</v>
      </c>
      <c r="E12" s="8" t="s">
        <v>186</v>
      </c>
      <c r="F12" s="9" t="s">
        <v>173</v>
      </c>
      <c r="G12" s="8">
        <v>1.0</v>
      </c>
      <c r="H12" s="8" t="s">
        <v>174</v>
      </c>
      <c r="I12" s="8" t="s">
        <v>71</v>
      </c>
      <c r="J12" s="10">
        <v>45980.86336805556</v>
      </c>
      <c r="K12" s="10">
        <v>45979.19173611111</v>
      </c>
      <c r="L12" s="11">
        <v>45980.0</v>
      </c>
      <c r="M12" s="11">
        <v>45979.0</v>
      </c>
      <c r="N12" s="12">
        <v>0.8633680555555555</v>
      </c>
      <c r="O12" s="12">
        <v>0.1917361111111111</v>
      </c>
      <c r="P12" s="13">
        <v>45981.0</v>
      </c>
      <c r="Q12" s="8" t="s">
        <v>187</v>
      </c>
      <c r="R12" s="8" t="s">
        <v>73</v>
      </c>
      <c r="S12" s="8">
        <v>49.88</v>
      </c>
      <c r="T12" s="8">
        <v>4.99</v>
      </c>
      <c r="U12" s="8">
        <v>54.87</v>
      </c>
      <c r="V12" s="8" t="s">
        <v>188</v>
      </c>
      <c r="W12" s="8" t="s">
        <v>189</v>
      </c>
      <c r="X12" s="8" t="s">
        <v>190</v>
      </c>
      <c r="AA12" s="8" t="s">
        <v>191</v>
      </c>
      <c r="AB12" s="8" t="s">
        <v>192</v>
      </c>
      <c r="AC12" s="8" t="s">
        <v>59</v>
      </c>
      <c r="AD12" s="8">
        <v>60632.0</v>
      </c>
      <c r="AE12" s="8" t="s">
        <v>59</v>
      </c>
      <c r="AF12" s="8" t="s">
        <v>192</v>
      </c>
      <c r="AG12" s="8" t="s">
        <v>180</v>
      </c>
      <c r="AH12" s="8" t="s">
        <v>193</v>
      </c>
      <c r="AI12" s="8">
        <v>34.54</v>
      </c>
      <c r="AK12" s="8" t="s">
        <v>182</v>
      </c>
      <c r="AM12" s="8">
        <v>1.0</v>
      </c>
      <c r="AN12" s="8">
        <v>13.2</v>
      </c>
      <c r="AO12" s="8">
        <v>591.0</v>
      </c>
      <c r="AP12" s="8" t="s">
        <v>62</v>
      </c>
      <c r="AQ12" s="8" t="s">
        <v>63</v>
      </c>
      <c r="AR12" s="8">
        <v>20.33</v>
      </c>
      <c r="AS12" s="8">
        <v>0.0</v>
      </c>
      <c r="AT12" s="8">
        <v>0.0</v>
      </c>
      <c r="AU12" s="8"/>
      <c r="AV12" s="8"/>
    </row>
    <row r="13">
      <c r="A13" s="8" t="s">
        <v>194</v>
      </c>
      <c r="B13" s="8" t="s">
        <v>195</v>
      </c>
      <c r="C13" s="8" t="s">
        <v>196</v>
      </c>
      <c r="D13" s="8" t="s">
        <v>171</v>
      </c>
      <c r="E13" s="8" t="s">
        <v>197</v>
      </c>
      <c r="F13" s="9" t="s">
        <v>173</v>
      </c>
      <c r="G13" s="8">
        <v>1.0</v>
      </c>
      <c r="H13" s="8" t="s">
        <v>174</v>
      </c>
      <c r="I13" s="8" t="s">
        <v>71</v>
      </c>
      <c r="J13" s="10">
        <v>45980.86336805556</v>
      </c>
      <c r="K13" s="10">
        <v>45979.19403935185</v>
      </c>
      <c r="L13" s="11">
        <v>45980.0</v>
      </c>
      <c r="M13" s="11">
        <v>45979.0</v>
      </c>
      <c r="N13" s="12">
        <v>0.8633680555555555</v>
      </c>
      <c r="O13" s="12">
        <v>0.19403935185185187</v>
      </c>
      <c r="P13" s="13">
        <v>45981.0</v>
      </c>
      <c r="Q13" s="8" t="s">
        <v>198</v>
      </c>
      <c r="R13" s="8" t="s">
        <v>73</v>
      </c>
      <c r="S13" s="8">
        <v>49.88</v>
      </c>
      <c r="T13" s="8">
        <v>4.99</v>
      </c>
      <c r="U13" s="8">
        <v>54.87</v>
      </c>
      <c r="V13" s="8" t="s">
        <v>199</v>
      </c>
      <c r="W13" s="8" t="s">
        <v>200</v>
      </c>
      <c r="X13" s="8" t="s">
        <v>201</v>
      </c>
      <c r="Z13" s="8">
        <f>13012567693</f>
        <v>13012567693</v>
      </c>
      <c r="AA13" s="8" t="s">
        <v>202</v>
      </c>
      <c r="AB13" s="8" t="s">
        <v>203</v>
      </c>
      <c r="AC13" s="8" t="s">
        <v>59</v>
      </c>
      <c r="AD13" s="8">
        <v>20723.0</v>
      </c>
      <c r="AE13" s="8" t="s">
        <v>59</v>
      </c>
      <c r="AF13" s="8" t="s">
        <v>203</v>
      </c>
      <c r="AG13" s="8" t="s">
        <v>180</v>
      </c>
      <c r="AH13" s="8" t="s">
        <v>204</v>
      </c>
      <c r="AI13" s="8">
        <v>34.54</v>
      </c>
      <c r="AK13" s="8" t="s">
        <v>182</v>
      </c>
      <c r="AM13" s="8">
        <v>1.0</v>
      </c>
      <c r="AN13" s="8">
        <v>13.2</v>
      </c>
      <c r="AO13" s="8">
        <v>591.0</v>
      </c>
      <c r="AP13" s="8" t="s">
        <v>62</v>
      </c>
      <c r="AQ13" s="8" t="s">
        <v>63</v>
      </c>
      <c r="AR13" s="8">
        <v>20.33</v>
      </c>
      <c r="AS13" s="8">
        <v>0.0</v>
      </c>
      <c r="AT13" s="8">
        <v>0.0</v>
      </c>
      <c r="AU13" s="8"/>
      <c r="AV13" s="8"/>
    </row>
    <row r="14">
      <c r="A14" s="8" t="s">
        <v>205</v>
      </c>
      <c r="B14" s="8" t="s">
        <v>206</v>
      </c>
      <c r="C14" s="8" t="s">
        <v>207</v>
      </c>
      <c r="D14" s="8" t="s">
        <v>171</v>
      </c>
      <c r="E14" s="8" t="s">
        <v>208</v>
      </c>
      <c r="F14" s="9" t="s">
        <v>173</v>
      </c>
      <c r="G14" s="8">
        <v>1.0</v>
      </c>
      <c r="H14" s="8" t="s">
        <v>174</v>
      </c>
      <c r="I14" s="8" t="s">
        <v>71</v>
      </c>
      <c r="J14" s="10">
        <v>45980.86336805556</v>
      </c>
      <c r="K14" s="10">
        <v>45979.32288194444</v>
      </c>
      <c r="L14" s="11">
        <v>45980.0</v>
      </c>
      <c r="M14" s="11">
        <v>45979.0</v>
      </c>
      <c r="N14" s="12">
        <v>0.8633680555555555</v>
      </c>
      <c r="O14" s="12">
        <v>0.32288194444444446</v>
      </c>
      <c r="P14" s="13">
        <v>45981.0</v>
      </c>
      <c r="Q14" s="8" t="s">
        <v>209</v>
      </c>
      <c r="R14" s="8" t="s">
        <v>73</v>
      </c>
      <c r="S14" s="8">
        <v>34.99</v>
      </c>
      <c r="T14" s="8">
        <v>4.99</v>
      </c>
      <c r="U14" s="8">
        <v>39.98</v>
      </c>
      <c r="V14" s="8" t="s">
        <v>210</v>
      </c>
      <c r="W14" s="8" t="s">
        <v>211</v>
      </c>
      <c r="X14" s="8" t="s">
        <v>212</v>
      </c>
      <c r="AA14" s="8" t="s">
        <v>213</v>
      </c>
      <c r="AB14" s="8" t="s">
        <v>214</v>
      </c>
      <c r="AC14" s="8" t="s">
        <v>59</v>
      </c>
      <c r="AD14" s="8">
        <v>79413.0</v>
      </c>
      <c r="AE14" s="8" t="s">
        <v>59</v>
      </c>
      <c r="AF14" s="8" t="s">
        <v>214</v>
      </c>
      <c r="AG14" s="8" t="s">
        <v>180</v>
      </c>
      <c r="AH14" s="8" t="s">
        <v>215</v>
      </c>
      <c r="AI14" s="8">
        <v>28.42</v>
      </c>
      <c r="AK14" s="8" t="s">
        <v>182</v>
      </c>
      <c r="AM14" s="8">
        <v>1.0</v>
      </c>
      <c r="AN14" s="8">
        <v>6.36</v>
      </c>
      <c r="AO14" s="8">
        <v>591.0</v>
      </c>
      <c r="AP14" s="8" t="s">
        <v>62</v>
      </c>
      <c r="AQ14" s="8" t="s">
        <v>63</v>
      </c>
      <c r="AR14" s="8">
        <v>11.56</v>
      </c>
      <c r="AS14" s="8">
        <v>0.0</v>
      </c>
      <c r="AT14" s="8">
        <v>0.0</v>
      </c>
      <c r="AU14" s="8"/>
      <c r="AV14" s="8"/>
    </row>
    <row r="15">
      <c r="A15" s="8" t="s">
        <v>216</v>
      </c>
      <c r="B15" s="8" t="s">
        <v>217</v>
      </c>
      <c r="C15" s="8" t="s">
        <v>218</v>
      </c>
      <c r="D15" s="8" t="s">
        <v>145</v>
      </c>
      <c r="E15" s="8" t="s">
        <v>219</v>
      </c>
      <c r="F15" s="9" t="s">
        <v>147</v>
      </c>
      <c r="G15" s="8">
        <v>1.0</v>
      </c>
      <c r="H15" s="8" t="s">
        <v>148</v>
      </c>
      <c r="I15" s="8" t="s">
        <v>71</v>
      </c>
      <c r="J15" s="10">
        <v>45980.86315972222</v>
      </c>
      <c r="K15" s="10">
        <v>45979.3246875</v>
      </c>
      <c r="L15" s="11">
        <v>45980.0</v>
      </c>
      <c r="M15" s="11">
        <v>45979.0</v>
      </c>
      <c r="N15" s="12">
        <v>0.8631597222222223</v>
      </c>
      <c r="O15" s="12">
        <v>0.3246875</v>
      </c>
      <c r="P15" s="13">
        <v>45981.0</v>
      </c>
      <c r="Q15" s="8" t="s">
        <v>220</v>
      </c>
      <c r="R15" s="8" t="s">
        <v>73</v>
      </c>
      <c r="S15" s="8">
        <v>36.95</v>
      </c>
      <c r="T15" s="8">
        <v>4.99</v>
      </c>
      <c r="U15" s="8">
        <v>41.94</v>
      </c>
      <c r="V15" s="8" t="s">
        <v>221</v>
      </c>
      <c r="W15" s="8" t="s">
        <v>222</v>
      </c>
      <c r="X15" s="8" t="s">
        <v>223</v>
      </c>
      <c r="Z15" s="8">
        <f>17184154321</f>
        <v>17184154321</v>
      </c>
      <c r="AA15" s="8" t="s">
        <v>224</v>
      </c>
      <c r="AB15" s="8" t="s">
        <v>225</v>
      </c>
      <c r="AC15" s="8" t="s">
        <v>59</v>
      </c>
      <c r="AD15" s="8">
        <v>11212.0</v>
      </c>
      <c r="AE15" s="8" t="s">
        <v>59</v>
      </c>
      <c r="AF15" s="8" t="s">
        <v>225</v>
      </c>
      <c r="AG15" s="8" t="s">
        <v>154</v>
      </c>
      <c r="AH15" s="8" t="s">
        <v>226</v>
      </c>
      <c r="AI15" s="8">
        <v>28.49</v>
      </c>
      <c r="AK15" s="8" t="s">
        <v>156</v>
      </c>
      <c r="AM15" s="8">
        <v>1.0</v>
      </c>
      <c r="AN15" s="8">
        <v>8.0</v>
      </c>
      <c r="AO15" s="8">
        <v>591.0</v>
      </c>
      <c r="AP15" s="8" t="s">
        <v>62</v>
      </c>
      <c r="AQ15" s="8" t="s">
        <v>63</v>
      </c>
      <c r="AR15" s="8">
        <v>13.45</v>
      </c>
      <c r="AS15" s="8">
        <v>0.0</v>
      </c>
      <c r="AT15" s="8">
        <v>0.0</v>
      </c>
      <c r="AU15" s="8"/>
      <c r="AV15" s="8"/>
    </row>
    <row r="16">
      <c r="A16" s="8" t="s">
        <v>227</v>
      </c>
      <c r="B16" s="8" t="s">
        <v>228</v>
      </c>
      <c r="C16" s="8" t="s">
        <v>229</v>
      </c>
      <c r="D16" s="8" t="s">
        <v>171</v>
      </c>
      <c r="E16" s="8" t="s">
        <v>230</v>
      </c>
      <c r="F16" s="9" t="s">
        <v>173</v>
      </c>
      <c r="G16" s="8">
        <v>1.0</v>
      </c>
      <c r="H16" s="8" t="s">
        <v>174</v>
      </c>
      <c r="I16" s="8" t="s">
        <v>71</v>
      </c>
      <c r="J16" s="10">
        <v>45980.86346064815</v>
      </c>
      <c r="K16" s="10">
        <v>45979.36256944444</v>
      </c>
      <c r="L16" s="11">
        <v>45980.0</v>
      </c>
      <c r="M16" s="11">
        <v>45979.0</v>
      </c>
      <c r="N16" s="12">
        <v>0.8634606481481482</v>
      </c>
      <c r="O16" s="12">
        <v>0.36256944444444444</v>
      </c>
      <c r="P16" s="13">
        <v>45981.0</v>
      </c>
      <c r="Q16" s="8" t="s">
        <v>231</v>
      </c>
      <c r="R16" s="8" t="s">
        <v>73</v>
      </c>
      <c r="S16" s="8">
        <v>49.88</v>
      </c>
      <c r="T16" s="8">
        <v>4.99</v>
      </c>
      <c r="U16" s="8">
        <v>54.87</v>
      </c>
      <c r="V16" s="8" t="s">
        <v>232</v>
      </c>
      <c r="W16" s="8" t="s">
        <v>233</v>
      </c>
      <c r="X16" s="8" t="s">
        <v>234</v>
      </c>
      <c r="AA16" s="8" t="s">
        <v>235</v>
      </c>
      <c r="AB16" s="8" t="s">
        <v>153</v>
      </c>
      <c r="AC16" s="8" t="s">
        <v>59</v>
      </c>
      <c r="AD16" s="8">
        <v>32812.0</v>
      </c>
      <c r="AE16" s="8" t="s">
        <v>59</v>
      </c>
      <c r="AF16" s="8" t="s">
        <v>153</v>
      </c>
      <c r="AG16" s="8" t="s">
        <v>180</v>
      </c>
      <c r="AH16" s="8" t="s">
        <v>236</v>
      </c>
      <c r="AI16" s="8">
        <v>34.54</v>
      </c>
      <c r="AK16" s="8" t="s">
        <v>182</v>
      </c>
      <c r="AM16" s="8">
        <v>1.0</v>
      </c>
      <c r="AN16" s="8">
        <v>13.2</v>
      </c>
      <c r="AO16" s="8">
        <v>591.0</v>
      </c>
      <c r="AP16" s="8" t="s">
        <v>62</v>
      </c>
      <c r="AQ16" s="8" t="s">
        <v>63</v>
      </c>
      <c r="AR16" s="8">
        <v>20.33</v>
      </c>
      <c r="AS16" s="8">
        <v>0.0</v>
      </c>
      <c r="AT16" s="8">
        <v>0.0</v>
      </c>
      <c r="AU16" s="8"/>
      <c r="AV16" s="8"/>
    </row>
    <row r="17">
      <c r="A17" s="8" t="s">
        <v>237</v>
      </c>
      <c r="B17" s="8" t="s">
        <v>238</v>
      </c>
      <c r="C17" s="8" t="s">
        <v>196</v>
      </c>
      <c r="D17" s="8" t="s">
        <v>171</v>
      </c>
      <c r="E17" s="8" t="s">
        <v>197</v>
      </c>
      <c r="F17" s="9" t="s">
        <v>173</v>
      </c>
      <c r="G17" s="8">
        <v>1.0</v>
      </c>
      <c r="H17" s="8" t="s">
        <v>174</v>
      </c>
      <c r="I17" s="8" t="s">
        <v>71</v>
      </c>
      <c r="J17" s="10">
        <v>45980.86346064815</v>
      </c>
      <c r="K17" s="10">
        <v>45979.382060185184</v>
      </c>
      <c r="L17" s="11">
        <v>45980.0</v>
      </c>
      <c r="M17" s="11">
        <v>45979.0</v>
      </c>
      <c r="N17" s="12">
        <v>0.8634606481481482</v>
      </c>
      <c r="O17" s="12">
        <v>0.3820601851851852</v>
      </c>
      <c r="P17" s="13">
        <v>45981.0</v>
      </c>
      <c r="Q17" s="8" t="s">
        <v>239</v>
      </c>
      <c r="R17" s="8" t="s">
        <v>73</v>
      </c>
      <c r="S17" s="8">
        <v>49.88</v>
      </c>
      <c r="T17" s="8">
        <v>4.99</v>
      </c>
      <c r="U17" s="8">
        <v>54.87</v>
      </c>
      <c r="V17" s="8" t="s">
        <v>240</v>
      </c>
      <c r="W17" s="8" t="s">
        <v>241</v>
      </c>
      <c r="X17" s="8" t="s">
        <v>242</v>
      </c>
      <c r="AA17" s="8" t="s">
        <v>243</v>
      </c>
      <c r="AB17" s="8" t="s">
        <v>214</v>
      </c>
      <c r="AC17" s="8" t="s">
        <v>59</v>
      </c>
      <c r="AD17" s="8" t="s">
        <v>244</v>
      </c>
      <c r="AE17" s="8" t="s">
        <v>59</v>
      </c>
      <c r="AF17" s="8" t="s">
        <v>214</v>
      </c>
      <c r="AG17" s="8" t="s">
        <v>180</v>
      </c>
      <c r="AH17" s="8" t="s">
        <v>245</v>
      </c>
      <c r="AI17" s="8">
        <v>34.54</v>
      </c>
      <c r="AK17" s="8" t="s">
        <v>182</v>
      </c>
      <c r="AM17" s="8">
        <v>1.0</v>
      </c>
      <c r="AN17" s="8">
        <v>13.2</v>
      </c>
      <c r="AO17" s="8">
        <v>591.0</v>
      </c>
      <c r="AP17" s="8" t="s">
        <v>62</v>
      </c>
      <c r="AQ17" s="8" t="s">
        <v>63</v>
      </c>
      <c r="AR17" s="8">
        <v>20.33</v>
      </c>
      <c r="AS17" s="8">
        <v>0.0</v>
      </c>
      <c r="AT17" s="8">
        <v>0.0</v>
      </c>
      <c r="AU17" s="8"/>
      <c r="AV17" s="8"/>
    </row>
    <row r="18">
      <c r="A18" s="8" t="s">
        <v>246</v>
      </c>
      <c r="B18" s="8" t="s">
        <v>247</v>
      </c>
      <c r="C18" s="8" t="s">
        <v>248</v>
      </c>
      <c r="D18" s="8" t="s">
        <v>171</v>
      </c>
      <c r="E18" s="8" t="s">
        <v>249</v>
      </c>
      <c r="F18" s="9" t="s">
        <v>173</v>
      </c>
      <c r="G18" s="8">
        <v>1.0</v>
      </c>
      <c r="H18" s="8" t="s">
        <v>174</v>
      </c>
      <c r="I18" s="8" t="s">
        <v>71</v>
      </c>
      <c r="J18" s="10">
        <v>45980.86346064815</v>
      </c>
      <c r="K18" s="10">
        <v>45979.39164351852</v>
      </c>
      <c r="L18" s="11">
        <v>45980.0</v>
      </c>
      <c r="M18" s="11">
        <v>45979.0</v>
      </c>
      <c r="N18" s="12">
        <v>0.8634606481481482</v>
      </c>
      <c r="O18" s="12">
        <v>0.39164351851851853</v>
      </c>
      <c r="P18" s="13">
        <v>45981.0</v>
      </c>
      <c r="Q18" s="8" t="s">
        <v>250</v>
      </c>
      <c r="R18" s="8" t="s">
        <v>73</v>
      </c>
      <c r="S18" s="8">
        <v>49.88</v>
      </c>
      <c r="T18" s="8">
        <v>4.99</v>
      </c>
      <c r="U18" s="8">
        <v>54.87</v>
      </c>
      <c r="V18" s="8" t="s">
        <v>251</v>
      </c>
      <c r="W18" s="8" t="s">
        <v>252</v>
      </c>
      <c r="X18" s="8" t="s">
        <v>253</v>
      </c>
      <c r="AA18" s="8" t="s">
        <v>254</v>
      </c>
      <c r="AB18" s="8" t="s">
        <v>255</v>
      </c>
      <c r="AC18" s="8" t="s">
        <v>59</v>
      </c>
      <c r="AD18" s="8">
        <v>3109.0</v>
      </c>
      <c r="AE18" s="8" t="s">
        <v>59</v>
      </c>
      <c r="AF18" s="8" t="s">
        <v>255</v>
      </c>
      <c r="AG18" s="8" t="s">
        <v>180</v>
      </c>
      <c r="AH18" s="8" t="s">
        <v>256</v>
      </c>
      <c r="AI18" s="8">
        <v>34.54</v>
      </c>
      <c r="AK18" s="8" t="s">
        <v>182</v>
      </c>
      <c r="AM18" s="8">
        <v>1.0</v>
      </c>
      <c r="AN18" s="8">
        <v>13.2</v>
      </c>
      <c r="AO18" s="8">
        <v>591.0</v>
      </c>
      <c r="AP18" s="8" t="s">
        <v>62</v>
      </c>
      <c r="AQ18" s="8" t="s">
        <v>63</v>
      </c>
      <c r="AR18" s="8">
        <v>20.33</v>
      </c>
      <c r="AS18" s="8">
        <v>0.0</v>
      </c>
      <c r="AT18" s="8">
        <v>0.0</v>
      </c>
      <c r="AU18" s="8"/>
      <c r="AV18" s="8"/>
    </row>
    <row r="19">
      <c r="A19" s="8" t="s">
        <v>257</v>
      </c>
      <c r="B19" s="8" t="s">
        <v>258</v>
      </c>
      <c r="C19" s="8" t="s">
        <v>248</v>
      </c>
      <c r="D19" s="8" t="s">
        <v>171</v>
      </c>
      <c r="E19" s="8" t="s">
        <v>249</v>
      </c>
      <c r="F19" s="9" t="s">
        <v>173</v>
      </c>
      <c r="G19" s="8">
        <v>1.0</v>
      </c>
      <c r="H19" s="8" t="s">
        <v>174</v>
      </c>
      <c r="I19" s="8" t="s">
        <v>71</v>
      </c>
      <c r="J19" s="10">
        <v>45980.86346064815</v>
      </c>
      <c r="K19" s="10">
        <v>45979.40251157407</v>
      </c>
      <c r="L19" s="11">
        <v>45980.0</v>
      </c>
      <c r="M19" s="11">
        <v>45979.0</v>
      </c>
      <c r="N19" s="12">
        <v>0.8634606481481482</v>
      </c>
      <c r="O19" s="12">
        <v>0.40251157407407406</v>
      </c>
      <c r="P19" s="13">
        <v>45981.0</v>
      </c>
      <c r="Q19" s="8" t="s">
        <v>259</v>
      </c>
      <c r="R19" s="8" t="s">
        <v>73</v>
      </c>
      <c r="S19" s="8">
        <v>49.88</v>
      </c>
      <c r="T19" s="8">
        <v>4.99</v>
      </c>
      <c r="U19" s="8">
        <v>54.87</v>
      </c>
      <c r="V19" s="8" t="s">
        <v>260</v>
      </c>
      <c r="W19" s="8" t="s">
        <v>261</v>
      </c>
      <c r="X19" s="8" t="s">
        <v>262</v>
      </c>
      <c r="Z19" s="8">
        <f>17869422955</f>
        <v>17869422955</v>
      </c>
      <c r="AA19" s="8" t="s">
        <v>263</v>
      </c>
      <c r="AB19" s="8" t="s">
        <v>153</v>
      </c>
      <c r="AC19" s="8" t="s">
        <v>59</v>
      </c>
      <c r="AD19" s="8">
        <v>33165.0</v>
      </c>
      <c r="AE19" s="8" t="s">
        <v>59</v>
      </c>
      <c r="AF19" s="8" t="s">
        <v>153</v>
      </c>
      <c r="AG19" s="8" t="s">
        <v>180</v>
      </c>
      <c r="AH19" s="8" t="s">
        <v>264</v>
      </c>
      <c r="AI19" s="8">
        <v>34.54</v>
      </c>
      <c r="AK19" s="8" t="s">
        <v>182</v>
      </c>
      <c r="AM19" s="8">
        <v>1.0</v>
      </c>
      <c r="AN19" s="8">
        <v>13.2</v>
      </c>
      <c r="AO19" s="8">
        <v>591.0</v>
      </c>
      <c r="AP19" s="8" t="s">
        <v>62</v>
      </c>
      <c r="AQ19" s="8" t="s">
        <v>63</v>
      </c>
      <c r="AR19" s="8">
        <v>20.33</v>
      </c>
      <c r="AS19" s="8">
        <v>0.0</v>
      </c>
      <c r="AT19" s="8">
        <v>0.0</v>
      </c>
      <c r="AU19" s="8"/>
      <c r="AV19" s="8"/>
    </row>
    <row r="20">
      <c r="A20" s="8" t="s">
        <v>265</v>
      </c>
      <c r="B20" s="8" t="s">
        <v>266</v>
      </c>
      <c r="C20" s="8" t="s">
        <v>144</v>
      </c>
      <c r="D20" s="8" t="s">
        <v>145</v>
      </c>
      <c r="E20" s="8" t="s">
        <v>146</v>
      </c>
      <c r="F20" s="9" t="s">
        <v>147</v>
      </c>
      <c r="G20" s="8">
        <v>1.0</v>
      </c>
      <c r="H20" s="8" t="s">
        <v>148</v>
      </c>
      <c r="I20" s="8" t="s">
        <v>71</v>
      </c>
      <c r="J20" s="10">
        <v>45980.86315972222</v>
      </c>
      <c r="K20" s="10">
        <v>45979.44116898148</v>
      </c>
      <c r="L20" s="11">
        <v>45980.0</v>
      </c>
      <c r="M20" s="11">
        <v>45979.0</v>
      </c>
      <c r="N20" s="12">
        <v>0.8631597222222223</v>
      </c>
      <c r="O20" s="12">
        <v>0.4411689814814815</v>
      </c>
      <c r="P20" s="13">
        <v>45981.0</v>
      </c>
      <c r="Q20" s="8" t="s">
        <v>267</v>
      </c>
      <c r="R20" s="8" t="s">
        <v>73</v>
      </c>
      <c r="S20" s="8">
        <v>36.95</v>
      </c>
      <c r="T20" s="8">
        <v>4.99</v>
      </c>
      <c r="U20" s="8">
        <v>41.94</v>
      </c>
      <c r="V20" s="8" t="s">
        <v>268</v>
      </c>
      <c r="W20" s="8" t="s">
        <v>269</v>
      </c>
      <c r="X20" s="8" t="s">
        <v>270</v>
      </c>
      <c r="AA20" s="8" t="s">
        <v>271</v>
      </c>
      <c r="AB20" s="8" t="s">
        <v>127</v>
      </c>
      <c r="AC20" s="8" t="s">
        <v>59</v>
      </c>
      <c r="AD20" s="8">
        <v>96720.0</v>
      </c>
      <c r="AE20" s="8" t="s">
        <v>59</v>
      </c>
      <c r="AF20" s="8" t="s">
        <v>127</v>
      </c>
      <c r="AG20" s="8" t="s">
        <v>154</v>
      </c>
      <c r="AH20" s="8" t="s">
        <v>272</v>
      </c>
      <c r="AI20" s="8">
        <v>28.49</v>
      </c>
      <c r="AK20" s="8" t="s">
        <v>156</v>
      </c>
      <c r="AM20" s="8">
        <v>1.0</v>
      </c>
      <c r="AN20" s="8">
        <v>8.0</v>
      </c>
      <c r="AO20" s="8">
        <v>591.0</v>
      </c>
      <c r="AP20" s="8" t="s">
        <v>62</v>
      </c>
      <c r="AQ20" s="8" t="s">
        <v>63</v>
      </c>
      <c r="AR20" s="8">
        <v>13.45</v>
      </c>
      <c r="AS20" s="8">
        <v>0.0</v>
      </c>
      <c r="AT20" s="8">
        <v>0.0</v>
      </c>
      <c r="AU20" s="8"/>
      <c r="AV20" s="8"/>
    </row>
    <row r="21" ht="15.75" customHeight="1">
      <c r="A21" s="8" t="s">
        <v>273</v>
      </c>
      <c r="B21" s="8" t="s">
        <v>274</v>
      </c>
      <c r="C21" s="8" t="s">
        <v>275</v>
      </c>
      <c r="D21" s="8" t="s">
        <v>171</v>
      </c>
      <c r="E21" s="8" t="s">
        <v>276</v>
      </c>
      <c r="F21" s="9" t="s">
        <v>173</v>
      </c>
      <c r="G21" s="8">
        <v>1.0</v>
      </c>
      <c r="H21" s="8" t="s">
        <v>174</v>
      </c>
      <c r="I21" s="8" t="s">
        <v>71</v>
      </c>
      <c r="J21" s="10">
        <v>45980.86355324074</v>
      </c>
      <c r="K21" s="10">
        <v>45979.45054398148</v>
      </c>
      <c r="L21" s="11">
        <v>45980.0</v>
      </c>
      <c r="M21" s="11">
        <v>45979.0</v>
      </c>
      <c r="N21" s="12">
        <v>0.8635532407407407</v>
      </c>
      <c r="O21" s="12">
        <v>0.4505439814814815</v>
      </c>
      <c r="P21" s="13">
        <v>45981.0</v>
      </c>
      <c r="Q21" s="8" t="s">
        <v>277</v>
      </c>
      <c r="R21" s="8" t="s">
        <v>73</v>
      </c>
      <c r="S21" s="8">
        <v>66.99</v>
      </c>
      <c r="T21" s="8">
        <v>4.99</v>
      </c>
      <c r="U21" s="8">
        <v>71.98</v>
      </c>
      <c r="V21" s="8" t="s">
        <v>278</v>
      </c>
      <c r="W21" s="8" t="s">
        <v>279</v>
      </c>
      <c r="X21" s="8" t="s">
        <v>280</v>
      </c>
      <c r="Z21" s="8">
        <f>14356608234</f>
        <v>14356608234</v>
      </c>
      <c r="AA21" s="8" t="s">
        <v>281</v>
      </c>
      <c r="AB21" s="8" t="s">
        <v>282</v>
      </c>
      <c r="AC21" s="8" t="s">
        <v>59</v>
      </c>
      <c r="AD21" s="8">
        <v>84651.0</v>
      </c>
      <c r="AE21" s="8" t="s">
        <v>59</v>
      </c>
      <c r="AF21" s="8" t="s">
        <v>282</v>
      </c>
      <c r="AG21" s="8" t="s">
        <v>180</v>
      </c>
      <c r="AH21" s="8" t="s">
        <v>283</v>
      </c>
      <c r="AI21" s="8">
        <v>45.92</v>
      </c>
      <c r="AK21" s="8" t="s">
        <v>182</v>
      </c>
      <c r="AM21" s="8">
        <v>1.0</v>
      </c>
      <c r="AN21" s="8">
        <v>16.7</v>
      </c>
      <c r="AO21" s="8">
        <v>591.0</v>
      </c>
      <c r="AP21" s="8" t="s">
        <v>62</v>
      </c>
      <c r="AQ21" s="8" t="s">
        <v>63</v>
      </c>
      <c r="AR21" s="8">
        <v>26.06</v>
      </c>
      <c r="AS21" s="8">
        <v>0.0</v>
      </c>
      <c r="AT21" s="8">
        <v>0.0</v>
      </c>
      <c r="AU21" s="8"/>
      <c r="AV21" s="8"/>
    </row>
    <row r="22" ht="15.75" customHeight="1">
      <c r="A22" s="8" t="s">
        <v>284</v>
      </c>
      <c r="B22" s="8" t="s">
        <v>285</v>
      </c>
      <c r="C22" s="8" t="s">
        <v>286</v>
      </c>
      <c r="D22" s="8" t="s">
        <v>171</v>
      </c>
      <c r="E22" s="8" t="s">
        <v>287</v>
      </c>
      <c r="F22" s="9" t="s">
        <v>173</v>
      </c>
      <c r="G22" s="8">
        <v>1.0</v>
      </c>
      <c r="H22" s="8" t="s">
        <v>174</v>
      </c>
      <c r="I22" s="8" t="s">
        <v>71</v>
      </c>
      <c r="J22" s="10">
        <v>45980.86355324074</v>
      </c>
      <c r="K22" s="10">
        <v>45979.472453703704</v>
      </c>
      <c r="L22" s="11">
        <v>45980.0</v>
      </c>
      <c r="M22" s="11">
        <v>45979.0</v>
      </c>
      <c r="N22" s="12">
        <v>0.8635532407407407</v>
      </c>
      <c r="O22" s="12">
        <v>0.4724537037037037</v>
      </c>
      <c r="P22" s="13">
        <v>45981.0</v>
      </c>
      <c r="Q22" s="8" t="s">
        <v>288</v>
      </c>
      <c r="R22" s="8" t="s">
        <v>73</v>
      </c>
      <c r="S22" s="8">
        <v>49.88</v>
      </c>
      <c r="T22" s="8">
        <v>4.99</v>
      </c>
      <c r="U22" s="8">
        <v>54.87</v>
      </c>
      <c r="V22" s="8" t="s">
        <v>289</v>
      </c>
      <c r="W22" s="8" t="s">
        <v>290</v>
      </c>
      <c r="X22" s="8" t="s">
        <v>291</v>
      </c>
      <c r="Z22" s="8">
        <f>18476501008</f>
        <v>18476501008</v>
      </c>
      <c r="AA22" s="8" t="s">
        <v>292</v>
      </c>
      <c r="AB22" s="8" t="s">
        <v>293</v>
      </c>
      <c r="AC22" s="8" t="s">
        <v>59</v>
      </c>
      <c r="AD22" s="8">
        <v>47906.0</v>
      </c>
      <c r="AE22" s="8" t="s">
        <v>59</v>
      </c>
      <c r="AF22" s="8" t="s">
        <v>293</v>
      </c>
      <c r="AG22" s="8" t="s">
        <v>180</v>
      </c>
      <c r="AH22" s="8" t="s">
        <v>294</v>
      </c>
      <c r="AI22" s="8">
        <v>34.54</v>
      </c>
      <c r="AK22" s="8" t="s">
        <v>182</v>
      </c>
      <c r="AM22" s="8">
        <v>1.0</v>
      </c>
      <c r="AN22" s="8">
        <v>13.2</v>
      </c>
      <c r="AO22" s="8">
        <v>591.0</v>
      </c>
      <c r="AP22" s="8" t="s">
        <v>62</v>
      </c>
      <c r="AQ22" s="8" t="s">
        <v>63</v>
      </c>
      <c r="AR22" s="8">
        <v>20.33</v>
      </c>
      <c r="AS22" s="8">
        <v>0.0</v>
      </c>
      <c r="AT22" s="8">
        <v>0.0</v>
      </c>
      <c r="AU22" s="8"/>
      <c r="AV22" s="8"/>
    </row>
    <row r="23" ht="15.75" customHeight="1">
      <c r="A23" s="8" t="s">
        <v>295</v>
      </c>
      <c r="B23" s="8" t="s">
        <v>296</v>
      </c>
      <c r="C23" s="8" t="s">
        <v>297</v>
      </c>
      <c r="D23" s="8" t="s">
        <v>298</v>
      </c>
      <c r="E23" s="8" t="s">
        <v>299</v>
      </c>
      <c r="F23" s="9" t="s">
        <v>300</v>
      </c>
      <c r="G23" s="8">
        <v>1.0</v>
      </c>
      <c r="H23" s="8" t="s">
        <v>301</v>
      </c>
      <c r="I23" s="8" t="s">
        <v>71</v>
      </c>
      <c r="J23" s="10">
        <v>45980.863645833335</v>
      </c>
      <c r="K23" s="10">
        <v>45979.489803240744</v>
      </c>
      <c r="L23" s="11">
        <v>45980.0</v>
      </c>
      <c r="M23" s="11">
        <v>45979.0</v>
      </c>
      <c r="N23" s="12">
        <v>0.8636458333333333</v>
      </c>
      <c r="O23" s="12">
        <v>0.4898032407407407</v>
      </c>
      <c r="P23" s="13">
        <v>45981.0</v>
      </c>
      <c r="Q23" s="8" t="s">
        <v>302</v>
      </c>
      <c r="R23" s="8" t="s">
        <v>73</v>
      </c>
      <c r="S23" s="8">
        <v>59.99</v>
      </c>
      <c r="T23" s="8">
        <v>4.99</v>
      </c>
      <c r="U23" s="8">
        <v>64.98</v>
      </c>
      <c r="V23" s="8" t="s">
        <v>303</v>
      </c>
      <c r="W23" s="8" t="s">
        <v>304</v>
      </c>
      <c r="X23" s="8" t="s">
        <v>305</v>
      </c>
      <c r="Y23" s="8" t="s">
        <v>306</v>
      </c>
      <c r="Z23" s="8">
        <f>19379353987</f>
        <v>19379353987</v>
      </c>
      <c r="AA23" s="8" t="s">
        <v>307</v>
      </c>
      <c r="AB23" s="8" t="s">
        <v>153</v>
      </c>
      <c r="AC23" s="8" t="s">
        <v>59</v>
      </c>
      <c r="AD23" s="8">
        <v>34714.0</v>
      </c>
      <c r="AE23" s="8" t="s">
        <v>59</v>
      </c>
      <c r="AF23" s="8" t="s">
        <v>153</v>
      </c>
      <c r="AG23" s="8" t="s">
        <v>308</v>
      </c>
      <c r="AH23" s="8" t="s">
        <v>309</v>
      </c>
      <c r="AI23" s="8">
        <v>43.41</v>
      </c>
      <c r="AK23" s="8" t="s">
        <v>310</v>
      </c>
      <c r="AM23" s="8">
        <v>1.0</v>
      </c>
      <c r="AN23" s="8">
        <v>13.12</v>
      </c>
      <c r="AO23" s="8">
        <v>591.0</v>
      </c>
      <c r="AP23" s="8" t="s">
        <v>62</v>
      </c>
      <c r="AQ23" s="8" t="s">
        <v>63</v>
      </c>
      <c r="AR23" s="8">
        <v>21.57</v>
      </c>
      <c r="AS23" s="8">
        <v>0.0</v>
      </c>
      <c r="AT23" s="8">
        <v>0.0</v>
      </c>
      <c r="AU23" s="8"/>
      <c r="AV23" s="8"/>
    </row>
    <row r="24" ht="15.75" customHeight="1">
      <c r="A24" s="8" t="s">
        <v>311</v>
      </c>
      <c r="B24" s="8" t="s">
        <v>312</v>
      </c>
      <c r="C24" s="8" t="s">
        <v>159</v>
      </c>
      <c r="D24" s="8" t="s">
        <v>145</v>
      </c>
      <c r="E24" s="8" t="s">
        <v>160</v>
      </c>
      <c r="F24" s="9" t="s">
        <v>147</v>
      </c>
      <c r="G24" s="8">
        <v>1.0</v>
      </c>
      <c r="H24" s="8" t="s">
        <v>148</v>
      </c>
      <c r="I24" s="8" t="s">
        <v>71</v>
      </c>
      <c r="J24" s="10">
        <v>45980.86315972222</v>
      </c>
      <c r="K24" s="10">
        <v>45979.50335648148</v>
      </c>
      <c r="L24" s="11">
        <v>45980.0</v>
      </c>
      <c r="M24" s="11">
        <v>45979.0</v>
      </c>
      <c r="N24" s="12">
        <v>0.8631597222222223</v>
      </c>
      <c r="O24" s="12">
        <v>0.5033564814814815</v>
      </c>
      <c r="P24" s="13">
        <v>45981.0</v>
      </c>
      <c r="Q24" s="8" t="s">
        <v>313</v>
      </c>
      <c r="R24" s="8" t="s">
        <v>73</v>
      </c>
      <c r="S24" s="8">
        <v>41.95</v>
      </c>
      <c r="T24" s="8">
        <v>4.99</v>
      </c>
      <c r="U24" s="8">
        <v>46.94</v>
      </c>
      <c r="V24" s="8" t="s">
        <v>314</v>
      </c>
      <c r="W24" s="8" t="s">
        <v>315</v>
      </c>
      <c r="X24" s="8" t="s">
        <v>316</v>
      </c>
      <c r="Z24" s="8">
        <f>16064937867</f>
        <v>16064937867</v>
      </c>
      <c r="AA24" s="8" t="s">
        <v>317</v>
      </c>
      <c r="AB24" s="8" t="s">
        <v>318</v>
      </c>
      <c r="AC24" s="8" t="s">
        <v>59</v>
      </c>
      <c r="AD24" s="8">
        <v>40402.0</v>
      </c>
      <c r="AE24" s="8" t="s">
        <v>59</v>
      </c>
      <c r="AF24" s="8" t="s">
        <v>318</v>
      </c>
      <c r="AG24" s="8" t="s">
        <v>154</v>
      </c>
      <c r="AH24" s="8" t="s">
        <v>319</v>
      </c>
      <c r="AI24" s="8">
        <v>29.34</v>
      </c>
      <c r="AK24" s="8" t="s">
        <v>156</v>
      </c>
      <c r="AM24" s="8">
        <v>1.0</v>
      </c>
      <c r="AN24" s="8">
        <v>11.5</v>
      </c>
      <c r="AO24" s="8">
        <v>591.0</v>
      </c>
      <c r="AP24" s="8" t="s">
        <v>62</v>
      </c>
      <c r="AQ24" s="8" t="s">
        <v>63</v>
      </c>
      <c r="AR24" s="8">
        <v>17.6</v>
      </c>
      <c r="AS24" s="8">
        <v>0.0</v>
      </c>
      <c r="AT24" s="8">
        <v>0.0</v>
      </c>
      <c r="AU24" s="8"/>
      <c r="AV24" s="8"/>
    </row>
    <row r="25" ht="15.75" customHeight="1">
      <c r="A25" s="8" t="s">
        <v>320</v>
      </c>
      <c r="B25" s="8" t="s">
        <v>321</v>
      </c>
      <c r="C25" s="8" t="s">
        <v>322</v>
      </c>
      <c r="D25" s="8" t="s">
        <v>298</v>
      </c>
      <c r="E25" s="8" t="s">
        <v>323</v>
      </c>
      <c r="F25" s="9" t="s">
        <v>300</v>
      </c>
      <c r="G25" s="8">
        <v>1.0</v>
      </c>
      <c r="H25" s="8" t="s">
        <v>301</v>
      </c>
      <c r="I25" s="8" t="s">
        <v>71</v>
      </c>
      <c r="J25" s="10">
        <v>45980.863645833335</v>
      </c>
      <c r="K25" s="10">
        <v>45979.51342592593</v>
      </c>
      <c r="L25" s="11">
        <v>45980.0</v>
      </c>
      <c r="M25" s="11">
        <v>45979.0</v>
      </c>
      <c r="N25" s="12">
        <v>0.8636458333333333</v>
      </c>
      <c r="O25" s="12">
        <v>0.513425925925926</v>
      </c>
      <c r="P25" s="13">
        <v>45981.0</v>
      </c>
      <c r="Q25" s="8" t="s">
        <v>324</v>
      </c>
      <c r="R25" s="8" t="s">
        <v>73</v>
      </c>
      <c r="S25" s="8">
        <v>104.99</v>
      </c>
      <c r="T25" s="8">
        <v>4.99</v>
      </c>
      <c r="U25" s="8">
        <v>109.98</v>
      </c>
      <c r="V25" s="8" t="s">
        <v>325</v>
      </c>
      <c r="W25" s="8" t="s">
        <v>326</v>
      </c>
      <c r="X25" s="8" t="s">
        <v>327</v>
      </c>
      <c r="Z25" s="8">
        <f>13373489276</f>
        <v>13373489276</v>
      </c>
      <c r="AA25" s="8" t="s">
        <v>328</v>
      </c>
      <c r="AB25" s="8" t="s">
        <v>329</v>
      </c>
      <c r="AC25" s="8" t="s">
        <v>59</v>
      </c>
      <c r="AD25" s="8">
        <v>70623.0</v>
      </c>
      <c r="AE25" s="8" t="s">
        <v>59</v>
      </c>
      <c r="AF25" s="8" t="s">
        <v>329</v>
      </c>
      <c r="AG25" s="8" t="s">
        <v>308</v>
      </c>
      <c r="AH25" s="8" t="s">
        <v>330</v>
      </c>
      <c r="AI25" s="8">
        <v>72.35</v>
      </c>
      <c r="AK25" s="8" t="s">
        <v>310</v>
      </c>
      <c r="AM25" s="8">
        <v>1.0</v>
      </c>
      <c r="AN25" s="8">
        <v>23.33</v>
      </c>
      <c r="AO25" s="8">
        <v>591.0</v>
      </c>
      <c r="AP25" s="8" t="s">
        <v>62</v>
      </c>
      <c r="AQ25" s="8" t="s">
        <v>63</v>
      </c>
      <c r="AR25" s="8">
        <v>37.63</v>
      </c>
      <c r="AS25" s="8">
        <v>0.0</v>
      </c>
      <c r="AT25" s="8">
        <v>0.0</v>
      </c>
      <c r="AU25" s="8"/>
      <c r="AV25" s="8"/>
    </row>
    <row r="26" ht="15.75" customHeight="1">
      <c r="A26" s="8" t="s">
        <v>331</v>
      </c>
      <c r="B26" s="8" t="s">
        <v>332</v>
      </c>
      <c r="C26" s="8" t="s">
        <v>333</v>
      </c>
      <c r="D26" s="8" t="s">
        <v>298</v>
      </c>
      <c r="E26" s="8" t="s">
        <v>334</v>
      </c>
      <c r="F26" s="9" t="s">
        <v>300</v>
      </c>
      <c r="G26" s="8">
        <v>1.0</v>
      </c>
      <c r="H26" s="8" t="s">
        <v>301</v>
      </c>
      <c r="I26" s="8" t="s">
        <v>71</v>
      </c>
      <c r="J26" s="10">
        <v>45980.863645833335</v>
      </c>
      <c r="K26" s="10">
        <v>45979.522881944446</v>
      </c>
      <c r="L26" s="11">
        <v>45980.0</v>
      </c>
      <c r="M26" s="11">
        <v>45979.0</v>
      </c>
      <c r="N26" s="12">
        <v>0.8636458333333333</v>
      </c>
      <c r="O26" s="12">
        <v>0.5228819444444445</v>
      </c>
      <c r="P26" s="13">
        <v>45981.0</v>
      </c>
      <c r="Q26" s="8" t="s">
        <v>335</v>
      </c>
      <c r="R26" s="8" t="s">
        <v>73</v>
      </c>
      <c r="S26" s="8">
        <v>144.98</v>
      </c>
      <c r="T26" s="8">
        <v>4.99</v>
      </c>
      <c r="U26" s="8">
        <v>149.97</v>
      </c>
      <c r="V26" s="8" t="s">
        <v>336</v>
      </c>
      <c r="W26" s="8" t="s">
        <v>337</v>
      </c>
      <c r="X26" s="8" t="s">
        <v>338</v>
      </c>
      <c r="Z26" s="8">
        <f>16127092124</f>
        <v>16127092124</v>
      </c>
      <c r="AA26" s="8" t="s">
        <v>339</v>
      </c>
      <c r="AB26" s="8" t="s">
        <v>340</v>
      </c>
      <c r="AC26" s="8" t="s">
        <v>59</v>
      </c>
      <c r="AD26" s="8">
        <v>85739.0</v>
      </c>
      <c r="AE26" s="8" t="s">
        <v>59</v>
      </c>
      <c r="AF26" s="8" t="s">
        <v>340</v>
      </c>
      <c r="AG26" s="8" t="s">
        <v>308</v>
      </c>
      <c r="AH26" s="8" t="s">
        <v>341</v>
      </c>
      <c r="AI26" s="8">
        <v>96.38</v>
      </c>
      <c r="AK26" s="8" t="s">
        <v>310</v>
      </c>
      <c r="AM26" s="8">
        <v>1.0</v>
      </c>
      <c r="AN26" s="8">
        <v>34.09</v>
      </c>
      <c r="AO26" s="8">
        <v>591.0</v>
      </c>
      <c r="AP26" s="8" t="s">
        <v>62</v>
      </c>
      <c r="AQ26" s="8" t="s">
        <v>63</v>
      </c>
      <c r="AR26" s="8">
        <v>53.59</v>
      </c>
      <c r="AS26" s="8">
        <v>0.0</v>
      </c>
      <c r="AT26" s="8">
        <v>0.0</v>
      </c>
      <c r="AU26" s="8"/>
      <c r="AV26" s="8"/>
    </row>
    <row r="27" ht="15.75" customHeight="1">
      <c r="A27" s="8" t="s">
        <v>342</v>
      </c>
      <c r="B27" s="8" t="s">
        <v>343</v>
      </c>
      <c r="C27" s="8" t="s">
        <v>344</v>
      </c>
      <c r="D27" s="8" t="s">
        <v>298</v>
      </c>
      <c r="E27" s="8" t="s">
        <v>345</v>
      </c>
      <c r="F27" s="9" t="s">
        <v>300</v>
      </c>
      <c r="G27" s="8">
        <v>1.0</v>
      </c>
      <c r="H27" s="8" t="s">
        <v>301</v>
      </c>
      <c r="I27" s="8" t="s">
        <v>71</v>
      </c>
      <c r="J27" s="10">
        <v>45980.863645833335</v>
      </c>
      <c r="K27" s="10">
        <v>45979.54150462963</v>
      </c>
      <c r="L27" s="11">
        <v>45980.0</v>
      </c>
      <c r="M27" s="11">
        <v>45979.0</v>
      </c>
      <c r="N27" s="12">
        <v>0.8636458333333333</v>
      </c>
      <c r="O27" s="12">
        <v>0.5415046296296296</v>
      </c>
      <c r="P27" s="13">
        <v>45981.0</v>
      </c>
      <c r="Q27" s="8" t="s">
        <v>346</v>
      </c>
      <c r="R27" s="8" t="s">
        <v>73</v>
      </c>
      <c r="S27" s="8">
        <v>59.99</v>
      </c>
      <c r="T27" s="8">
        <v>4.99</v>
      </c>
      <c r="U27" s="8">
        <v>64.98</v>
      </c>
      <c r="V27" s="8" t="s">
        <v>347</v>
      </c>
      <c r="W27" s="8" t="s">
        <v>348</v>
      </c>
      <c r="X27" s="8" t="s">
        <v>349</v>
      </c>
      <c r="Z27" s="8">
        <f>13058070151</f>
        <v>13058070151</v>
      </c>
      <c r="AA27" s="8" t="s">
        <v>350</v>
      </c>
      <c r="AB27" s="8" t="s">
        <v>153</v>
      </c>
      <c r="AC27" s="8" t="s">
        <v>59</v>
      </c>
      <c r="AD27" s="8">
        <v>33473.0</v>
      </c>
      <c r="AE27" s="8" t="s">
        <v>59</v>
      </c>
      <c r="AF27" s="8" t="s">
        <v>153</v>
      </c>
      <c r="AG27" s="8" t="s">
        <v>308</v>
      </c>
      <c r="AH27" s="8" t="s">
        <v>351</v>
      </c>
      <c r="AI27" s="8">
        <v>43.41</v>
      </c>
      <c r="AK27" s="8" t="s">
        <v>310</v>
      </c>
      <c r="AM27" s="8">
        <v>1.0</v>
      </c>
      <c r="AN27" s="8">
        <v>13.12</v>
      </c>
      <c r="AO27" s="8">
        <v>591.0</v>
      </c>
      <c r="AP27" s="8" t="s">
        <v>62</v>
      </c>
      <c r="AQ27" s="8" t="s">
        <v>63</v>
      </c>
      <c r="AR27" s="8">
        <v>21.57</v>
      </c>
      <c r="AS27" s="8">
        <v>0.0</v>
      </c>
      <c r="AT27" s="8">
        <v>0.0</v>
      </c>
      <c r="AU27" s="8"/>
      <c r="AV27" s="8"/>
    </row>
    <row r="28" ht="15.75" customHeight="1">
      <c r="A28" s="8" t="s">
        <v>352</v>
      </c>
      <c r="B28" s="8" t="s">
        <v>353</v>
      </c>
      <c r="C28" s="8" t="s">
        <v>354</v>
      </c>
      <c r="D28" s="8" t="s">
        <v>298</v>
      </c>
      <c r="E28" s="8" t="s">
        <v>355</v>
      </c>
      <c r="F28" s="9" t="s">
        <v>300</v>
      </c>
      <c r="G28" s="8">
        <v>1.0</v>
      </c>
      <c r="H28" s="8" t="s">
        <v>301</v>
      </c>
      <c r="I28" s="8" t="s">
        <v>71</v>
      </c>
      <c r="J28" s="10">
        <v>45980.863645833335</v>
      </c>
      <c r="K28" s="10">
        <v>45979.54736111111</v>
      </c>
      <c r="L28" s="11">
        <v>45980.0</v>
      </c>
      <c r="M28" s="11">
        <v>45979.0</v>
      </c>
      <c r="N28" s="12">
        <v>0.8636458333333333</v>
      </c>
      <c r="O28" s="12">
        <v>0.5473611111111111</v>
      </c>
      <c r="P28" s="13">
        <v>45981.0</v>
      </c>
      <c r="Q28" s="8" t="s">
        <v>356</v>
      </c>
      <c r="R28" s="8" t="s">
        <v>73</v>
      </c>
      <c r="S28" s="8">
        <v>59.99</v>
      </c>
      <c r="T28" s="8">
        <v>4.99</v>
      </c>
      <c r="U28" s="8">
        <v>64.98</v>
      </c>
      <c r="V28" s="8" t="s">
        <v>357</v>
      </c>
      <c r="W28" s="8" t="s">
        <v>358</v>
      </c>
      <c r="X28" s="8" t="s">
        <v>359</v>
      </c>
      <c r="AA28" s="8" t="s">
        <v>360</v>
      </c>
      <c r="AB28" s="8" t="s">
        <v>361</v>
      </c>
      <c r="AC28" s="8" t="s">
        <v>59</v>
      </c>
      <c r="AD28" s="8" t="s">
        <v>362</v>
      </c>
      <c r="AE28" s="8" t="s">
        <v>59</v>
      </c>
      <c r="AF28" s="8" t="s">
        <v>361</v>
      </c>
      <c r="AG28" s="8" t="s">
        <v>308</v>
      </c>
      <c r="AH28" s="8" t="s">
        <v>363</v>
      </c>
      <c r="AI28" s="8">
        <v>43.41</v>
      </c>
      <c r="AK28" s="8" t="s">
        <v>310</v>
      </c>
      <c r="AM28" s="8">
        <v>1.0</v>
      </c>
      <c r="AN28" s="8">
        <v>13.12</v>
      </c>
      <c r="AO28" s="8">
        <v>591.0</v>
      </c>
      <c r="AP28" s="8" t="s">
        <v>62</v>
      </c>
      <c r="AQ28" s="8" t="s">
        <v>63</v>
      </c>
      <c r="AR28" s="8">
        <v>21.57</v>
      </c>
      <c r="AS28" s="8">
        <v>0.0</v>
      </c>
      <c r="AT28" s="8">
        <v>0.0</v>
      </c>
      <c r="AU28" s="8"/>
      <c r="AV28" s="8"/>
    </row>
    <row r="29" ht="15.75" customHeight="1">
      <c r="A29" s="8" t="s">
        <v>364</v>
      </c>
      <c r="B29" s="8" t="s">
        <v>365</v>
      </c>
      <c r="C29" s="8" t="s">
        <v>366</v>
      </c>
      <c r="D29" s="8" t="s">
        <v>298</v>
      </c>
      <c r="E29" s="8" t="s">
        <v>367</v>
      </c>
      <c r="F29" s="9" t="s">
        <v>300</v>
      </c>
      <c r="G29" s="8">
        <v>1.0</v>
      </c>
      <c r="H29" s="8" t="s">
        <v>301</v>
      </c>
      <c r="I29" s="8" t="s">
        <v>71</v>
      </c>
      <c r="J29" s="10">
        <v>45980.863645833335</v>
      </c>
      <c r="K29" s="10">
        <v>45979.553136574075</v>
      </c>
      <c r="L29" s="11">
        <v>45980.0</v>
      </c>
      <c r="M29" s="11">
        <v>45979.0</v>
      </c>
      <c r="N29" s="12">
        <v>0.8636458333333333</v>
      </c>
      <c r="O29" s="12">
        <v>0.5531365740740741</v>
      </c>
      <c r="P29" s="13">
        <v>45981.0</v>
      </c>
      <c r="Q29" s="8" t="s">
        <v>368</v>
      </c>
      <c r="R29" s="8" t="s">
        <v>73</v>
      </c>
      <c r="S29" s="8">
        <v>104.99</v>
      </c>
      <c r="T29" s="8">
        <v>4.99</v>
      </c>
      <c r="U29" s="8">
        <v>109.98</v>
      </c>
      <c r="V29" s="8" t="s">
        <v>369</v>
      </c>
      <c r="W29" s="8" t="s">
        <v>370</v>
      </c>
      <c r="X29" s="8" t="s">
        <v>371</v>
      </c>
      <c r="AA29" s="8" t="s">
        <v>372</v>
      </c>
      <c r="AB29" s="8" t="s">
        <v>58</v>
      </c>
      <c r="AC29" s="8" t="s">
        <v>59</v>
      </c>
      <c r="AD29" s="8">
        <v>90814.0</v>
      </c>
      <c r="AE29" s="8" t="s">
        <v>59</v>
      </c>
      <c r="AF29" s="8" t="s">
        <v>58</v>
      </c>
      <c r="AG29" s="8" t="s">
        <v>308</v>
      </c>
      <c r="AH29" s="8" t="s">
        <v>373</v>
      </c>
      <c r="AI29" s="8">
        <v>72.35</v>
      </c>
      <c r="AK29" s="8" t="s">
        <v>310</v>
      </c>
      <c r="AM29" s="8">
        <v>1.0</v>
      </c>
      <c r="AN29" s="8">
        <v>23.33</v>
      </c>
      <c r="AO29" s="8">
        <v>591.0</v>
      </c>
      <c r="AP29" s="8" t="s">
        <v>62</v>
      </c>
      <c r="AQ29" s="8" t="s">
        <v>63</v>
      </c>
      <c r="AR29" s="8">
        <v>37.63</v>
      </c>
      <c r="AS29" s="8">
        <v>0.0</v>
      </c>
      <c r="AT29" s="8">
        <v>0.0</v>
      </c>
      <c r="AU29" s="8"/>
      <c r="AV29" s="8"/>
    </row>
    <row r="30" ht="15.75" customHeight="1">
      <c r="A30" s="8" t="s">
        <v>374</v>
      </c>
      <c r="B30" s="8" t="s">
        <v>375</v>
      </c>
      <c r="C30" s="8" t="s">
        <v>344</v>
      </c>
      <c r="D30" s="8" t="s">
        <v>298</v>
      </c>
      <c r="E30" s="8" t="s">
        <v>345</v>
      </c>
      <c r="F30" s="9" t="s">
        <v>300</v>
      </c>
      <c r="G30" s="8">
        <v>1.0</v>
      </c>
      <c r="H30" s="8" t="s">
        <v>301</v>
      </c>
      <c r="I30" s="8" t="s">
        <v>71</v>
      </c>
      <c r="J30" s="10">
        <v>45980.863645833335</v>
      </c>
      <c r="K30" s="10">
        <v>45979.573541666665</v>
      </c>
      <c r="L30" s="11">
        <v>45980.0</v>
      </c>
      <c r="M30" s="11">
        <v>45979.0</v>
      </c>
      <c r="N30" s="12">
        <v>0.8636458333333333</v>
      </c>
      <c r="O30" s="12">
        <v>0.5735416666666666</v>
      </c>
      <c r="P30" s="13">
        <v>45981.0</v>
      </c>
      <c r="Q30" s="8" t="s">
        <v>376</v>
      </c>
      <c r="R30" s="8" t="s">
        <v>73</v>
      </c>
      <c r="S30" s="8">
        <v>59.99</v>
      </c>
      <c r="T30" s="8">
        <v>4.99</v>
      </c>
      <c r="U30" s="8">
        <v>64.98</v>
      </c>
      <c r="V30" s="8" t="s">
        <v>377</v>
      </c>
      <c r="W30" s="8" t="s">
        <v>378</v>
      </c>
      <c r="X30" s="8" t="s">
        <v>379</v>
      </c>
      <c r="Z30" s="8">
        <f>12399400527</f>
        <v>12399400527</v>
      </c>
      <c r="AA30" s="8" t="s">
        <v>380</v>
      </c>
      <c r="AB30" s="8" t="s">
        <v>153</v>
      </c>
      <c r="AC30" s="8" t="s">
        <v>59</v>
      </c>
      <c r="AD30" s="8">
        <v>33908.0</v>
      </c>
      <c r="AE30" s="8" t="s">
        <v>59</v>
      </c>
      <c r="AF30" s="8" t="s">
        <v>153</v>
      </c>
      <c r="AG30" s="8" t="s">
        <v>308</v>
      </c>
      <c r="AH30" s="8" t="s">
        <v>381</v>
      </c>
      <c r="AI30" s="8">
        <v>43.41</v>
      </c>
      <c r="AK30" s="8" t="s">
        <v>310</v>
      </c>
      <c r="AM30" s="8">
        <v>1.0</v>
      </c>
      <c r="AN30" s="8">
        <v>13.12</v>
      </c>
      <c r="AO30" s="8">
        <v>591.0</v>
      </c>
      <c r="AP30" s="8" t="s">
        <v>62</v>
      </c>
      <c r="AQ30" s="8" t="s">
        <v>63</v>
      </c>
      <c r="AR30" s="8">
        <v>21.57</v>
      </c>
      <c r="AS30" s="8">
        <v>0.0</v>
      </c>
      <c r="AT30" s="8">
        <v>0.0</v>
      </c>
      <c r="AU30" s="8"/>
      <c r="AV30" s="8"/>
    </row>
    <row r="31" ht="15.75" customHeight="1">
      <c r="A31" s="8" t="s">
        <v>382</v>
      </c>
      <c r="B31" s="8" t="s">
        <v>383</v>
      </c>
      <c r="C31" s="8" t="s">
        <v>384</v>
      </c>
      <c r="D31" s="8" t="s">
        <v>298</v>
      </c>
      <c r="E31" s="8" t="s">
        <v>385</v>
      </c>
      <c r="F31" s="9" t="s">
        <v>300</v>
      </c>
      <c r="G31" s="8">
        <v>1.0</v>
      </c>
      <c r="H31" s="8" t="s">
        <v>301</v>
      </c>
      <c r="I31" s="8" t="s">
        <v>71</v>
      </c>
      <c r="J31" s="10">
        <v>45980.863645833335</v>
      </c>
      <c r="K31" s="10">
        <v>45979.580092592594</v>
      </c>
      <c r="L31" s="11">
        <v>45980.0</v>
      </c>
      <c r="M31" s="11">
        <v>45979.0</v>
      </c>
      <c r="N31" s="12">
        <v>0.8636458333333333</v>
      </c>
      <c r="O31" s="12">
        <v>0.5800925925925926</v>
      </c>
      <c r="P31" s="13">
        <v>45981.0</v>
      </c>
      <c r="Q31" s="8" t="s">
        <v>386</v>
      </c>
      <c r="R31" s="8" t="s">
        <v>73</v>
      </c>
      <c r="S31" s="8">
        <v>59.99</v>
      </c>
      <c r="T31" s="8">
        <v>4.99</v>
      </c>
      <c r="U31" s="8">
        <v>64.98</v>
      </c>
      <c r="V31" s="8" t="s">
        <v>387</v>
      </c>
      <c r="W31" s="8" t="s">
        <v>388</v>
      </c>
      <c r="X31" s="8" t="s">
        <v>389</v>
      </c>
      <c r="Y31" s="8" t="s">
        <v>390</v>
      </c>
      <c r="AA31" s="8" t="s">
        <v>391</v>
      </c>
      <c r="AB31" s="8" t="s">
        <v>214</v>
      </c>
      <c r="AC31" s="8" t="s">
        <v>59</v>
      </c>
      <c r="AD31" s="8">
        <v>77339.0</v>
      </c>
      <c r="AE31" s="8" t="s">
        <v>59</v>
      </c>
      <c r="AF31" s="8" t="s">
        <v>214</v>
      </c>
      <c r="AG31" s="8" t="s">
        <v>308</v>
      </c>
      <c r="AH31" s="8" t="s">
        <v>392</v>
      </c>
      <c r="AI31" s="8">
        <v>43.41</v>
      </c>
      <c r="AK31" s="8" t="s">
        <v>310</v>
      </c>
      <c r="AM31" s="8">
        <v>1.0</v>
      </c>
      <c r="AN31" s="8">
        <v>13.12</v>
      </c>
      <c r="AO31" s="8">
        <v>591.0</v>
      </c>
      <c r="AP31" s="8" t="s">
        <v>62</v>
      </c>
      <c r="AQ31" s="8" t="s">
        <v>63</v>
      </c>
      <c r="AR31" s="8">
        <v>21.57</v>
      </c>
      <c r="AS31" s="8">
        <v>0.0</v>
      </c>
      <c r="AT31" s="8">
        <v>0.0</v>
      </c>
      <c r="AU31" s="8"/>
      <c r="AV31" s="8"/>
    </row>
    <row r="32" ht="15.75" customHeight="1">
      <c r="A32" s="8" t="s">
        <v>393</v>
      </c>
      <c r="B32" s="8" t="s">
        <v>394</v>
      </c>
      <c r="C32" s="8" t="s">
        <v>395</v>
      </c>
      <c r="D32" s="8" t="s">
        <v>298</v>
      </c>
      <c r="E32" s="8" t="s">
        <v>396</v>
      </c>
      <c r="F32" s="9" t="s">
        <v>300</v>
      </c>
      <c r="G32" s="8">
        <v>1.0</v>
      </c>
      <c r="H32" s="8" t="s">
        <v>301</v>
      </c>
      <c r="I32" s="8" t="s">
        <v>71</v>
      </c>
      <c r="J32" s="10">
        <v>45980.863645833335</v>
      </c>
      <c r="K32" s="10">
        <v>45979.59127314815</v>
      </c>
      <c r="L32" s="11">
        <v>45980.0</v>
      </c>
      <c r="M32" s="11">
        <v>45979.0</v>
      </c>
      <c r="N32" s="12">
        <v>0.8636458333333333</v>
      </c>
      <c r="O32" s="12">
        <v>0.5912731481481481</v>
      </c>
      <c r="P32" s="13">
        <v>45981.0</v>
      </c>
      <c r="Q32" s="8" t="s">
        <v>397</v>
      </c>
      <c r="R32" s="8" t="s">
        <v>73</v>
      </c>
      <c r="S32" s="8">
        <v>104.99</v>
      </c>
      <c r="T32" s="8">
        <v>4.99</v>
      </c>
      <c r="U32" s="8">
        <v>109.98</v>
      </c>
      <c r="V32" s="8" t="s">
        <v>398</v>
      </c>
      <c r="W32" s="8" t="s">
        <v>399</v>
      </c>
      <c r="X32" s="8" t="s">
        <v>400</v>
      </c>
      <c r="AA32" s="8" t="s">
        <v>401</v>
      </c>
      <c r="AB32" s="8" t="s">
        <v>361</v>
      </c>
      <c r="AC32" s="8" t="s">
        <v>59</v>
      </c>
      <c r="AD32" s="8">
        <v>97008.0</v>
      </c>
      <c r="AE32" s="8" t="s">
        <v>59</v>
      </c>
      <c r="AF32" s="8" t="s">
        <v>361</v>
      </c>
      <c r="AG32" s="8" t="s">
        <v>308</v>
      </c>
      <c r="AH32" s="8" t="s">
        <v>402</v>
      </c>
      <c r="AI32" s="8">
        <v>72.35</v>
      </c>
      <c r="AK32" s="8" t="s">
        <v>310</v>
      </c>
      <c r="AM32" s="8">
        <v>1.0</v>
      </c>
      <c r="AN32" s="8">
        <v>23.33</v>
      </c>
      <c r="AO32" s="8">
        <v>591.0</v>
      </c>
      <c r="AP32" s="8" t="s">
        <v>62</v>
      </c>
      <c r="AQ32" s="8" t="s">
        <v>63</v>
      </c>
      <c r="AR32" s="8">
        <v>37.63</v>
      </c>
      <c r="AS32" s="8">
        <v>0.0</v>
      </c>
      <c r="AT32" s="8">
        <v>0.0</v>
      </c>
      <c r="AU32" s="8"/>
      <c r="AV32" s="8"/>
    </row>
    <row r="33" ht="15.75" customHeight="1">
      <c r="A33" s="8" t="s">
        <v>403</v>
      </c>
      <c r="B33" s="8" t="s">
        <v>404</v>
      </c>
      <c r="C33" s="8" t="s">
        <v>405</v>
      </c>
      <c r="D33" s="8" t="s">
        <v>298</v>
      </c>
      <c r="E33" s="8" t="s">
        <v>406</v>
      </c>
      <c r="F33" s="9" t="s">
        <v>300</v>
      </c>
      <c r="G33" s="8">
        <v>1.0</v>
      </c>
      <c r="H33" s="8" t="s">
        <v>301</v>
      </c>
      <c r="I33" s="8" t="s">
        <v>71</v>
      </c>
      <c r="J33" s="10">
        <v>45980.863854166666</v>
      </c>
      <c r="K33" s="10">
        <v>45979.60858796296</v>
      </c>
      <c r="L33" s="11">
        <v>45980.0</v>
      </c>
      <c r="M33" s="11">
        <v>45979.0</v>
      </c>
      <c r="N33" s="12">
        <v>0.8638541666666667</v>
      </c>
      <c r="O33" s="12">
        <v>0.6085879629629629</v>
      </c>
      <c r="P33" s="13">
        <v>45981.0</v>
      </c>
      <c r="Q33" s="8" t="s">
        <v>407</v>
      </c>
      <c r="R33" s="8" t="s">
        <v>73</v>
      </c>
      <c r="S33" s="8">
        <v>59.99</v>
      </c>
      <c r="T33" s="8">
        <v>4.99</v>
      </c>
      <c r="U33" s="8">
        <v>64.98</v>
      </c>
      <c r="V33" s="8" t="s">
        <v>408</v>
      </c>
      <c r="W33" s="8" t="s">
        <v>409</v>
      </c>
      <c r="X33" s="8" t="s">
        <v>410</v>
      </c>
      <c r="Y33" s="8" t="s">
        <v>411</v>
      </c>
      <c r="Z33" s="8">
        <f>16124181477</f>
        <v>16124181477</v>
      </c>
      <c r="AA33" s="8" t="s">
        <v>412</v>
      </c>
      <c r="AB33" s="8" t="s">
        <v>361</v>
      </c>
      <c r="AC33" s="8" t="s">
        <v>59</v>
      </c>
      <c r="AD33" s="8">
        <v>97217.0</v>
      </c>
      <c r="AE33" s="8" t="s">
        <v>59</v>
      </c>
      <c r="AF33" s="8" t="s">
        <v>361</v>
      </c>
      <c r="AG33" s="8" t="s">
        <v>308</v>
      </c>
      <c r="AH33" s="8" t="s">
        <v>413</v>
      </c>
      <c r="AI33" s="8">
        <v>43.41</v>
      </c>
      <c r="AK33" s="8" t="s">
        <v>310</v>
      </c>
      <c r="AM33" s="8">
        <v>1.0</v>
      </c>
      <c r="AN33" s="8">
        <v>13.12</v>
      </c>
      <c r="AO33" s="8">
        <v>591.0</v>
      </c>
      <c r="AP33" s="8" t="s">
        <v>62</v>
      </c>
      <c r="AQ33" s="8" t="s">
        <v>63</v>
      </c>
      <c r="AR33" s="8">
        <v>21.57</v>
      </c>
      <c r="AS33" s="8">
        <v>0.0</v>
      </c>
      <c r="AT33" s="8">
        <v>0.0</v>
      </c>
      <c r="AU33" s="8"/>
      <c r="AV33" s="8"/>
    </row>
    <row r="34" ht="15.75" customHeight="1">
      <c r="A34" s="8" t="s">
        <v>414</v>
      </c>
      <c r="B34" s="8" t="s">
        <v>415</v>
      </c>
      <c r="C34" s="8" t="s">
        <v>322</v>
      </c>
      <c r="D34" s="8" t="s">
        <v>298</v>
      </c>
      <c r="E34" s="8" t="s">
        <v>323</v>
      </c>
      <c r="F34" s="9" t="s">
        <v>300</v>
      </c>
      <c r="G34" s="8">
        <v>1.0</v>
      </c>
      <c r="H34" s="8" t="s">
        <v>301</v>
      </c>
      <c r="I34" s="8" t="s">
        <v>71</v>
      </c>
      <c r="J34" s="10">
        <v>45980.863854166666</v>
      </c>
      <c r="K34" s="10">
        <v>45979.61210648148</v>
      </c>
      <c r="L34" s="11">
        <v>45980.0</v>
      </c>
      <c r="M34" s="11">
        <v>45979.0</v>
      </c>
      <c r="N34" s="12">
        <v>0.8638541666666667</v>
      </c>
      <c r="O34" s="12">
        <v>0.6121064814814815</v>
      </c>
      <c r="P34" s="13">
        <v>45981.0</v>
      </c>
      <c r="Q34" s="8" t="s">
        <v>416</v>
      </c>
      <c r="R34" s="8" t="s">
        <v>73</v>
      </c>
      <c r="S34" s="8">
        <v>104.99</v>
      </c>
      <c r="T34" s="8">
        <v>4.99</v>
      </c>
      <c r="U34" s="8">
        <v>109.98</v>
      </c>
      <c r="V34" s="8" t="s">
        <v>417</v>
      </c>
      <c r="W34" s="8" t="s">
        <v>418</v>
      </c>
      <c r="X34" s="8" t="s">
        <v>419</v>
      </c>
      <c r="Z34" s="8">
        <f>16199930664</f>
        <v>16199930664</v>
      </c>
      <c r="AA34" s="8" t="s">
        <v>420</v>
      </c>
      <c r="AB34" s="8" t="s">
        <v>58</v>
      </c>
      <c r="AC34" s="8" t="s">
        <v>59</v>
      </c>
      <c r="AD34" s="8">
        <v>91977.0</v>
      </c>
      <c r="AE34" s="8" t="s">
        <v>59</v>
      </c>
      <c r="AF34" s="8" t="s">
        <v>58</v>
      </c>
      <c r="AG34" s="8" t="s">
        <v>308</v>
      </c>
      <c r="AH34" s="8" t="s">
        <v>421</v>
      </c>
      <c r="AI34" s="8">
        <v>72.35</v>
      </c>
      <c r="AK34" s="8" t="s">
        <v>310</v>
      </c>
      <c r="AM34" s="8">
        <v>1.0</v>
      </c>
      <c r="AN34" s="8">
        <v>23.33</v>
      </c>
      <c r="AO34" s="8">
        <v>591.0</v>
      </c>
      <c r="AP34" s="8" t="s">
        <v>62</v>
      </c>
      <c r="AQ34" s="8" t="s">
        <v>63</v>
      </c>
      <c r="AR34" s="8">
        <v>37.63</v>
      </c>
      <c r="AS34" s="8">
        <v>0.0</v>
      </c>
      <c r="AT34" s="8">
        <v>0.0</v>
      </c>
      <c r="AU34" s="8"/>
      <c r="AV34" s="8"/>
    </row>
    <row r="35" ht="15.75" customHeight="1">
      <c r="A35" s="8" t="s">
        <v>422</v>
      </c>
      <c r="B35" s="8" t="s">
        <v>423</v>
      </c>
      <c r="C35" s="8" t="s">
        <v>159</v>
      </c>
      <c r="D35" s="8" t="s">
        <v>145</v>
      </c>
      <c r="E35" s="8" t="s">
        <v>160</v>
      </c>
      <c r="F35" s="9" t="s">
        <v>147</v>
      </c>
      <c r="G35" s="8">
        <v>1.0</v>
      </c>
      <c r="H35" s="8" t="s">
        <v>148</v>
      </c>
      <c r="I35" s="8" t="s">
        <v>71</v>
      </c>
      <c r="J35" s="10">
        <v>45980.86315972222</v>
      </c>
      <c r="K35" s="10">
        <v>45979.621342592596</v>
      </c>
      <c r="L35" s="11">
        <v>45980.0</v>
      </c>
      <c r="M35" s="11">
        <v>45979.0</v>
      </c>
      <c r="N35" s="12">
        <v>0.8631597222222223</v>
      </c>
      <c r="O35" s="12">
        <v>0.6213425925925926</v>
      </c>
      <c r="P35" s="13">
        <v>45981.0</v>
      </c>
      <c r="Q35" s="8" t="s">
        <v>424</v>
      </c>
      <c r="R35" s="8" t="s">
        <v>73</v>
      </c>
      <c r="S35" s="8">
        <v>41.95</v>
      </c>
      <c r="T35" s="8">
        <v>4.99</v>
      </c>
      <c r="U35" s="8">
        <v>46.94</v>
      </c>
      <c r="V35" s="8" t="s">
        <v>425</v>
      </c>
      <c r="W35" s="8" t="s">
        <v>426</v>
      </c>
      <c r="X35" s="8" t="s">
        <v>427</v>
      </c>
      <c r="Z35" s="8">
        <f>14083987028</f>
        <v>14083987028</v>
      </c>
      <c r="AA35" s="8" t="s">
        <v>428</v>
      </c>
      <c r="AB35" s="8" t="s">
        <v>58</v>
      </c>
      <c r="AC35" s="8" t="s">
        <v>59</v>
      </c>
      <c r="AD35" s="8">
        <v>95148.0</v>
      </c>
      <c r="AE35" s="8" t="s">
        <v>59</v>
      </c>
      <c r="AF35" s="8" t="s">
        <v>58</v>
      </c>
      <c r="AG35" s="8" t="s">
        <v>154</v>
      </c>
      <c r="AH35" s="8" t="s">
        <v>429</v>
      </c>
      <c r="AI35" s="8">
        <v>29.34</v>
      </c>
      <c r="AK35" s="8" t="s">
        <v>156</v>
      </c>
      <c r="AM35" s="8">
        <v>1.0</v>
      </c>
      <c r="AN35" s="8">
        <v>11.5</v>
      </c>
      <c r="AO35" s="8">
        <v>591.0</v>
      </c>
      <c r="AP35" s="8" t="s">
        <v>62</v>
      </c>
      <c r="AQ35" s="8" t="s">
        <v>63</v>
      </c>
      <c r="AR35" s="8">
        <v>17.6</v>
      </c>
      <c r="AS35" s="8">
        <v>0.0</v>
      </c>
      <c r="AT35" s="8">
        <v>0.0</v>
      </c>
      <c r="AU35" s="8"/>
      <c r="AV35" s="8"/>
    </row>
    <row r="36" ht="15.75" customHeight="1">
      <c r="A36" s="8" t="s">
        <v>430</v>
      </c>
      <c r="B36" s="8" t="s">
        <v>431</v>
      </c>
      <c r="C36" s="8" t="s">
        <v>432</v>
      </c>
      <c r="D36" s="8" t="s">
        <v>298</v>
      </c>
      <c r="E36" s="8" t="s">
        <v>433</v>
      </c>
      <c r="F36" s="9" t="s">
        <v>300</v>
      </c>
      <c r="G36" s="8">
        <v>2.0</v>
      </c>
      <c r="H36" s="8" t="s">
        <v>301</v>
      </c>
      <c r="I36" s="8" t="s">
        <v>71</v>
      </c>
      <c r="J36" s="10">
        <v>45980.863854166666</v>
      </c>
      <c r="K36" s="10">
        <v>45979.64606481481</v>
      </c>
      <c r="L36" s="11">
        <v>45980.0</v>
      </c>
      <c r="M36" s="11">
        <v>45979.0</v>
      </c>
      <c r="N36" s="12">
        <v>0.8638541666666667</v>
      </c>
      <c r="O36" s="12">
        <v>0.6460648148148148</v>
      </c>
      <c r="P36" s="13">
        <v>45981.0</v>
      </c>
      <c r="Q36" s="8" t="s">
        <v>434</v>
      </c>
      <c r="R36" s="8" t="s">
        <v>73</v>
      </c>
      <c r="S36" s="8">
        <v>59.99</v>
      </c>
      <c r="T36" s="8">
        <v>4.99</v>
      </c>
      <c r="U36" s="8">
        <v>124.97</v>
      </c>
      <c r="V36" s="8" t="s">
        <v>435</v>
      </c>
      <c r="W36" s="8" t="s">
        <v>436</v>
      </c>
      <c r="X36" s="8" t="s">
        <v>437</v>
      </c>
      <c r="Z36" s="8">
        <f>13045901665</f>
        <v>13045901665</v>
      </c>
      <c r="AA36" s="8" t="s">
        <v>438</v>
      </c>
      <c r="AB36" s="8" t="s">
        <v>439</v>
      </c>
      <c r="AC36" s="8" t="s">
        <v>59</v>
      </c>
      <c r="AD36" s="8">
        <v>24901.0</v>
      </c>
      <c r="AE36" s="8" t="s">
        <v>59</v>
      </c>
      <c r="AF36" s="8" t="s">
        <v>439</v>
      </c>
      <c r="AG36" s="8" t="s">
        <v>308</v>
      </c>
      <c r="AH36" s="8" t="s">
        <v>440</v>
      </c>
      <c r="AI36" s="8">
        <v>82.48</v>
      </c>
      <c r="AK36" s="8" t="s">
        <v>310</v>
      </c>
      <c r="AM36" s="8">
        <v>2.0</v>
      </c>
      <c r="AN36" s="8">
        <v>13.12</v>
      </c>
      <c r="AO36" s="8">
        <v>591.0</v>
      </c>
      <c r="AP36" s="8" t="s">
        <v>62</v>
      </c>
      <c r="AQ36" s="8" t="s">
        <v>63</v>
      </c>
      <c r="AR36" s="8">
        <v>42.49</v>
      </c>
      <c r="AS36" s="8">
        <v>0.0</v>
      </c>
      <c r="AT36" s="8">
        <v>0.0</v>
      </c>
      <c r="AU36" s="8"/>
      <c r="AV36" s="8"/>
    </row>
    <row r="37" ht="15.75" customHeight="1">
      <c r="A37" s="8" t="s">
        <v>441</v>
      </c>
      <c r="B37" s="8" t="s">
        <v>442</v>
      </c>
      <c r="C37" s="8" t="s">
        <v>443</v>
      </c>
      <c r="D37" s="8" t="s">
        <v>171</v>
      </c>
      <c r="E37" s="8" t="s">
        <v>444</v>
      </c>
      <c r="F37" s="9" t="s">
        <v>173</v>
      </c>
      <c r="G37" s="8">
        <v>2.0</v>
      </c>
      <c r="H37" s="8" t="s">
        <v>174</v>
      </c>
      <c r="I37" s="8" t="s">
        <v>71</v>
      </c>
      <c r="J37" s="10">
        <v>45980.86355324074</v>
      </c>
      <c r="K37" s="10">
        <v>45979.66707175926</v>
      </c>
      <c r="L37" s="11">
        <v>45980.0</v>
      </c>
      <c r="M37" s="11">
        <v>45979.0</v>
      </c>
      <c r="N37" s="12">
        <v>0.8635532407407407</v>
      </c>
      <c r="O37" s="12">
        <v>0.6670717592592592</v>
      </c>
      <c r="P37" s="13">
        <v>45981.0</v>
      </c>
      <c r="Q37" s="8" t="s">
        <v>445</v>
      </c>
      <c r="R37" s="8" t="s">
        <v>73</v>
      </c>
      <c r="S37" s="8">
        <v>34.99</v>
      </c>
      <c r="T37" s="8">
        <v>4.99</v>
      </c>
      <c r="U37" s="8">
        <v>74.97</v>
      </c>
      <c r="V37" s="8" t="s">
        <v>446</v>
      </c>
      <c r="W37" s="8" t="s">
        <v>447</v>
      </c>
      <c r="X37" s="8" t="s">
        <v>448</v>
      </c>
      <c r="Z37" s="8">
        <f>18058165991</f>
        <v>18058165991</v>
      </c>
      <c r="AA37" s="8" t="s">
        <v>449</v>
      </c>
      <c r="AB37" s="8" t="s">
        <v>58</v>
      </c>
      <c r="AC37" s="8" t="s">
        <v>59</v>
      </c>
      <c r="AD37" s="8">
        <v>93015.0</v>
      </c>
      <c r="AE37" s="8" t="s">
        <v>59</v>
      </c>
      <c r="AF37" s="8" t="s">
        <v>58</v>
      </c>
      <c r="AG37" s="8" t="s">
        <v>180</v>
      </c>
      <c r="AH37" s="8" t="s">
        <v>450</v>
      </c>
      <c r="AI37" s="8">
        <v>52.5</v>
      </c>
      <c r="AK37" s="8" t="s">
        <v>182</v>
      </c>
      <c r="AM37" s="8">
        <v>2.0</v>
      </c>
      <c r="AN37" s="8">
        <v>6.36</v>
      </c>
      <c r="AO37" s="8">
        <v>591.0</v>
      </c>
      <c r="AP37" s="8" t="s">
        <v>62</v>
      </c>
      <c r="AQ37" s="8" t="s">
        <v>63</v>
      </c>
      <c r="AR37" s="8">
        <v>22.47</v>
      </c>
      <c r="AS37" s="8">
        <v>0.0</v>
      </c>
      <c r="AT37" s="8">
        <v>0.0</v>
      </c>
      <c r="AU37" s="8"/>
      <c r="AV37" s="8"/>
    </row>
    <row r="38" ht="15.75" customHeight="1">
      <c r="A38" s="8" t="s">
        <v>451</v>
      </c>
      <c r="B38" s="8" t="s">
        <v>452</v>
      </c>
      <c r="C38" s="8" t="s">
        <v>453</v>
      </c>
      <c r="D38" s="8" t="s">
        <v>298</v>
      </c>
      <c r="E38" s="8" t="s">
        <v>454</v>
      </c>
      <c r="F38" s="9" t="s">
        <v>300</v>
      </c>
      <c r="G38" s="8">
        <v>1.0</v>
      </c>
      <c r="H38" s="8" t="s">
        <v>301</v>
      </c>
      <c r="I38" s="8" t="s">
        <v>71</v>
      </c>
      <c r="J38" s="10">
        <v>45980.863854166666</v>
      </c>
      <c r="K38" s="10">
        <v>45979.724953703706</v>
      </c>
      <c r="L38" s="11">
        <v>45980.0</v>
      </c>
      <c r="M38" s="11">
        <v>45979.0</v>
      </c>
      <c r="N38" s="12">
        <v>0.8638541666666667</v>
      </c>
      <c r="O38" s="12">
        <v>0.7249537037037037</v>
      </c>
      <c r="P38" s="13">
        <v>45981.0</v>
      </c>
      <c r="Q38" s="8" t="s">
        <v>455</v>
      </c>
      <c r="R38" s="8" t="s">
        <v>73</v>
      </c>
      <c r="S38" s="8">
        <v>104.99</v>
      </c>
      <c r="T38" s="8">
        <v>4.99</v>
      </c>
      <c r="U38" s="8">
        <v>109.98</v>
      </c>
      <c r="V38" s="8" t="s">
        <v>456</v>
      </c>
      <c r="W38" s="8" t="s">
        <v>457</v>
      </c>
      <c r="X38" s="8" t="s">
        <v>458</v>
      </c>
      <c r="Z38" s="8">
        <f>19288979928</f>
        <v>19288979928</v>
      </c>
      <c r="AA38" s="8" t="s">
        <v>459</v>
      </c>
      <c r="AB38" s="8" t="s">
        <v>58</v>
      </c>
      <c r="AC38" s="8" t="s">
        <v>59</v>
      </c>
      <c r="AD38" s="8">
        <v>93268.0</v>
      </c>
      <c r="AE38" s="8" t="s">
        <v>59</v>
      </c>
      <c r="AF38" s="8" t="s">
        <v>58</v>
      </c>
      <c r="AG38" s="8" t="s">
        <v>308</v>
      </c>
      <c r="AH38" s="8" t="s">
        <v>460</v>
      </c>
      <c r="AI38" s="8">
        <v>72.35</v>
      </c>
      <c r="AK38" s="8" t="s">
        <v>310</v>
      </c>
      <c r="AM38" s="8">
        <v>1.0</v>
      </c>
      <c r="AN38" s="8">
        <v>23.33</v>
      </c>
      <c r="AO38" s="8">
        <v>591.0</v>
      </c>
      <c r="AP38" s="8" t="s">
        <v>62</v>
      </c>
      <c r="AQ38" s="8" t="s">
        <v>63</v>
      </c>
      <c r="AR38" s="8">
        <v>37.63</v>
      </c>
      <c r="AS38" s="8">
        <v>0.0</v>
      </c>
      <c r="AT38" s="8">
        <v>0.0</v>
      </c>
      <c r="AU38" s="8"/>
      <c r="AV38" s="8"/>
    </row>
    <row r="39" ht="15.75" customHeight="1">
      <c r="A39" s="8" t="s">
        <v>461</v>
      </c>
      <c r="B39" s="8" t="s">
        <v>462</v>
      </c>
      <c r="C39" s="8" t="s">
        <v>463</v>
      </c>
      <c r="D39" s="8" t="s">
        <v>298</v>
      </c>
      <c r="E39" s="8" t="s">
        <v>464</v>
      </c>
      <c r="F39" s="9" t="s">
        <v>300</v>
      </c>
      <c r="G39" s="8">
        <v>1.0</v>
      </c>
      <c r="H39" s="8" t="s">
        <v>301</v>
      </c>
      <c r="I39" s="8" t="s">
        <v>71</v>
      </c>
      <c r="J39" s="10">
        <v>45980.863854166666</v>
      </c>
      <c r="K39" s="10">
        <v>45979.75380787037</v>
      </c>
      <c r="L39" s="11">
        <v>45980.0</v>
      </c>
      <c r="M39" s="11">
        <v>45979.0</v>
      </c>
      <c r="N39" s="12">
        <v>0.8638541666666667</v>
      </c>
      <c r="O39" s="12">
        <v>0.7538078703703703</v>
      </c>
      <c r="P39" s="13">
        <v>45981.0</v>
      </c>
      <c r="Q39" s="8" t="s">
        <v>465</v>
      </c>
      <c r="R39" s="8" t="s">
        <v>73</v>
      </c>
      <c r="S39" s="8">
        <v>144.98</v>
      </c>
      <c r="T39" s="8">
        <v>4.99</v>
      </c>
      <c r="U39" s="8">
        <v>149.97</v>
      </c>
      <c r="V39" s="8" t="s">
        <v>466</v>
      </c>
      <c r="W39" s="8" t="s">
        <v>467</v>
      </c>
      <c r="X39" s="8" t="s">
        <v>468</v>
      </c>
      <c r="Z39" s="8">
        <f>19515413325</f>
        <v>19515413325</v>
      </c>
      <c r="AA39" s="8" t="s">
        <v>469</v>
      </c>
      <c r="AB39" s="8" t="s">
        <v>58</v>
      </c>
      <c r="AC39" s="8" t="s">
        <v>59</v>
      </c>
      <c r="AD39" s="8">
        <v>92562.0</v>
      </c>
      <c r="AE39" s="8" t="s">
        <v>59</v>
      </c>
      <c r="AF39" s="8" t="s">
        <v>58</v>
      </c>
      <c r="AG39" s="8" t="s">
        <v>308</v>
      </c>
      <c r="AH39" s="8" t="s">
        <v>470</v>
      </c>
      <c r="AI39" s="8">
        <v>96.38</v>
      </c>
      <c r="AK39" s="8" t="s">
        <v>310</v>
      </c>
      <c r="AM39" s="8">
        <v>1.0</v>
      </c>
      <c r="AN39" s="8">
        <v>34.09</v>
      </c>
      <c r="AO39" s="8">
        <v>591.0</v>
      </c>
      <c r="AP39" s="8" t="s">
        <v>62</v>
      </c>
      <c r="AQ39" s="8" t="s">
        <v>63</v>
      </c>
      <c r="AR39" s="8">
        <v>53.59</v>
      </c>
      <c r="AS39" s="8">
        <v>0.0</v>
      </c>
      <c r="AT39" s="8">
        <v>0.0</v>
      </c>
      <c r="AU39" s="8"/>
      <c r="AV39" s="8"/>
    </row>
    <row r="40" ht="15.75" customHeight="1">
      <c r="A40" s="8" t="s">
        <v>471</v>
      </c>
      <c r="B40" s="8" t="s">
        <v>472</v>
      </c>
      <c r="C40" s="8" t="s">
        <v>473</v>
      </c>
      <c r="D40" s="8" t="s">
        <v>298</v>
      </c>
      <c r="E40" s="8" t="s">
        <v>474</v>
      </c>
      <c r="F40" s="9" t="s">
        <v>300</v>
      </c>
      <c r="G40" s="8">
        <v>1.0</v>
      </c>
      <c r="H40" s="8" t="s">
        <v>301</v>
      </c>
      <c r="I40" s="8" t="s">
        <v>71</v>
      </c>
      <c r="J40" s="10">
        <v>45980.863854166666</v>
      </c>
      <c r="K40" s="10">
        <v>45979.75480324074</v>
      </c>
      <c r="L40" s="11">
        <v>45980.0</v>
      </c>
      <c r="M40" s="11">
        <v>45979.0</v>
      </c>
      <c r="N40" s="12">
        <v>0.8638541666666667</v>
      </c>
      <c r="O40" s="12">
        <v>0.7548032407407408</v>
      </c>
      <c r="P40" s="13">
        <v>45981.0</v>
      </c>
      <c r="Q40" s="8" t="s">
        <v>475</v>
      </c>
      <c r="R40" s="8" t="s">
        <v>73</v>
      </c>
      <c r="S40" s="8">
        <v>59.99</v>
      </c>
      <c r="T40" s="8">
        <v>4.99</v>
      </c>
      <c r="U40" s="8">
        <v>64.98</v>
      </c>
      <c r="V40" s="8" t="s">
        <v>476</v>
      </c>
      <c r="W40" s="8" t="s">
        <v>477</v>
      </c>
      <c r="X40" s="8" t="s">
        <v>478</v>
      </c>
      <c r="Z40" s="8">
        <f>15073803137</f>
        <v>15073803137</v>
      </c>
      <c r="AA40" s="8" t="s">
        <v>479</v>
      </c>
      <c r="AB40" s="8" t="s">
        <v>166</v>
      </c>
      <c r="AC40" s="8" t="s">
        <v>59</v>
      </c>
      <c r="AD40" s="8">
        <v>50226.0</v>
      </c>
      <c r="AE40" s="8" t="s">
        <v>59</v>
      </c>
      <c r="AF40" s="8" t="s">
        <v>166</v>
      </c>
      <c r="AG40" s="8" t="s">
        <v>308</v>
      </c>
      <c r="AH40" s="8" t="s">
        <v>480</v>
      </c>
      <c r="AI40" s="8">
        <v>43.41</v>
      </c>
      <c r="AK40" s="8" t="s">
        <v>310</v>
      </c>
      <c r="AM40" s="8">
        <v>1.0</v>
      </c>
      <c r="AN40" s="8">
        <v>13.12</v>
      </c>
      <c r="AO40" s="8">
        <v>591.0</v>
      </c>
      <c r="AP40" s="8" t="s">
        <v>62</v>
      </c>
      <c r="AQ40" s="8" t="s">
        <v>63</v>
      </c>
      <c r="AR40" s="8">
        <v>21.57</v>
      </c>
      <c r="AS40" s="8">
        <v>0.0</v>
      </c>
      <c r="AT40" s="8">
        <v>0.0</v>
      </c>
      <c r="AU40" s="8"/>
      <c r="AV40" s="8"/>
    </row>
    <row r="41" ht="15.75" customHeight="1">
      <c r="A41" s="8" t="s">
        <v>481</v>
      </c>
      <c r="B41" s="8" t="s">
        <v>482</v>
      </c>
      <c r="C41" s="8" t="s">
        <v>405</v>
      </c>
      <c r="D41" s="8" t="s">
        <v>298</v>
      </c>
      <c r="E41" s="8" t="s">
        <v>406</v>
      </c>
      <c r="F41" s="9" t="s">
        <v>300</v>
      </c>
      <c r="G41" s="8">
        <v>1.0</v>
      </c>
      <c r="H41" s="8" t="s">
        <v>301</v>
      </c>
      <c r="I41" s="8" t="s">
        <v>71</v>
      </c>
      <c r="J41" s="10">
        <v>45980.863854166666</v>
      </c>
      <c r="K41" s="10">
        <v>45979.85173611111</v>
      </c>
      <c r="L41" s="11">
        <v>45980.0</v>
      </c>
      <c r="M41" s="11">
        <v>45979.0</v>
      </c>
      <c r="N41" s="12">
        <v>0.8638541666666667</v>
      </c>
      <c r="O41" s="12">
        <v>0.8517361111111111</v>
      </c>
      <c r="P41" s="13">
        <v>45981.0</v>
      </c>
      <c r="Q41" s="8" t="s">
        <v>483</v>
      </c>
      <c r="R41" s="8" t="s">
        <v>73</v>
      </c>
      <c r="S41" s="8">
        <v>59.99</v>
      </c>
      <c r="T41" s="8">
        <v>4.99</v>
      </c>
      <c r="U41" s="8">
        <v>64.98</v>
      </c>
      <c r="V41" s="8" t="s">
        <v>484</v>
      </c>
      <c r="W41" s="8" t="s">
        <v>485</v>
      </c>
      <c r="X41" s="8" t="s">
        <v>486</v>
      </c>
      <c r="AA41" s="8" t="s">
        <v>487</v>
      </c>
      <c r="AB41" s="8" t="s">
        <v>214</v>
      </c>
      <c r="AC41" s="8" t="s">
        <v>59</v>
      </c>
      <c r="AD41" s="8">
        <v>75072.0</v>
      </c>
      <c r="AE41" s="8" t="s">
        <v>59</v>
      </c>
      <c r="AF41" s="8" t="s">
        <v>214</v>
      </c>
      <c r="AG41" s="8" t="s">
        <v>308</v>
      </c>
      <c r="AH41" s="8" t="s">
        <v>488</v>
      </c>
      <c r="AI41" s="8">
        <v>43.41</v>
      </c>
      <c r="AK41" s="8" t="s">
        <v>310</v>
      </c>
      <c r="AM41" s="8">
        <v>1.0</v>
      </c>
      <c r="AN41" s="8">
        <v>13.12</v>
      </c>
      <c r="AO41" s="8">
        <v>591.0</v>
      </c>
      <c r="AP41" s="8" t="s">
        <v>62</v>
      </c>
      <c r="AQ41" s="8" t="s">
        <v>63</v>
      </c>
      <c r="AR41" s="8">
        <v>21.57</v>
      </c>
      <c r="AS41" s="8">
        <v>0.0</v>
      </c>
      <c r="AT41" s="8">
        <v>0.0</v>
      </c>
      <c r="AU41" s="8"/>
      <c r="AV41" s="8"/>
    </row>
    <row r="42" ht="15.75" customHeight="1">
      <c r="A42" s="8" t="s">
        <v>489</v>
      </c>
      <c r="B42" s="8" t="s">
        <v>490</v>
      </c>
      <c r="C42" s="8" t="s">
        <v>491</v>
      </c>
      <c r="D42" s="8" t="s">
        <v>298</v>
      </c>
      <c r="E42" s="8" t="s">
        <v>492</v>
      </c>
      <c r="F42" s="9" t="s">
        <v>300</v>
      </c>
      <c r="G42" s="8">
        <v>1.0</v>
      </c>
      <c r="H42" s="8" t="s">
        <v>301</v>
      </c>
      <c r="I42" s="8" t="s">
        <v>71</v>
      </c>
      <c r="J42" s="10">
        <v>45980.863854166666</v>
      </c>
      <c r="K42" s="10">
        <v>45979.92439814815</v>
      </c>
      <c r="L42" s="11">
        <v>45980.0</v>
      </c>
      <c r="M42" s="11">
        <v>45979.0</v>
      </c>
      <c r="N42" s="12">
        <v>0.8638541666666667</v>
      </c>
      <c r="O42" s="12">
        <v>0.9243981481481481</v>
      </c>
      <c r="P42" s="13">
        <v>45981.0</v>
      </c>
      <c r="Q42" s="8" t="s">
        <v>493</v>
      </c>
      <c r="R42" s="8" t="s">
        <v>73</v>
      </c>
      <c r="S42" s="8">
        <v>59.99</v>
      </c>
      <c r="T42" s="8">
        <v>4.99</v>
      </c>
      <c r="U42" s="8">
        <v>64.98</v>
      </c>
      <c r="V42" s="8" t="s">
        <v>494</v>
      </c>
      <c r="W42" s="8" t="s">
        <v>495</v>
      </c>
      <c r="X42" s="8" t="s">
        <v>496</v>
      </c>
      <c r="Y42" s="8">
        <v>4.0</v>
      </c>
      <c r="Z42" s="8">
        <f>16199978550</f>
        <v>16199978550</v>
      </c>
      <c r="AA42" s="8" t="s">
        <v>497</v>
      </c>
      <c r="AB42" s="8" t="s">
        <v>58</v>
      </c>
      <c r="AC42" s="8" t="s">
        <v>59</v>
      </c>
      <c r="AD42" s="8">
        <v>92106.0</v>
      </c>
      <c r="AE42" s="8" t="s">
        <v>59</v>
      </c>
      <c r="AF42" s="8" t="s">
        <v>58</v>
      </c>
      <c r="AG42" s="8" t="s">
        <v>308</v>
      </c>
      <c r="AH42" s="8" t="s">
        <v>498</v>
      </c>
      <c r="AI42" s="8">
        <v>43.41</v>
      </c>
      <c r="AK42" s="8" t="s">
        <v>310</v>
      </c>
      <c r="AM42" s="8">
        <v>1.0</v>
      </c>
      <c r="AN42" s="8">
        <v>13.12</v>
      </c>
      <c r="AO42" s="8">
        <v>591.0</v>
      </c>
      <c r="AP42" s="8" t="s">
        <v>62</v>
      </c>
      <c r="AQ42" s="8" t="s">
        <v>63</v>
      </c>
      <c r="AR42" s="8">
        <v>21.57</v>
      </c>
      <c r="AS42" s="8">
        <v>0.0</v>
      </c>
      <c r="AT42" s="8">
        <v>0.0</v>
      </c>
      <c r="AU42" s="8"/>
      <c r="AV42" s="8"/>
    </row>
    <row r="43" ht="15.75" customHeight="1">
      <c r="A43" s="8" t="s">
        <v>499</v>
      </c>
      <c r="B43" s="8" t="s">
        <v>500</v>
      </c>
      <c r="C43" s="8" t="s">
        <v>501</v>
      </c>
      <c r="D43" s="8" t="s">
        <v>502</v>
      </c>
      <c r="E43" s="8" t="s">
        <v>503</v>
      </c>
      <c r="F43" s="9" t="s">
        <v>504</v>
      </c>
      <c r="G43" s="8">
        <v>1.0</v>
      </c>
      <c r="H43" s="8" t="s">
        <v>505</v>
      </c>
      <c r="I43" s="8" t="s">
        <v>71</v>
      </c>
      <c r="J43" s="10">
        <v>45981.76861111111</v>
      </c>
      <c r="K43" s="10">
        <v>45980.03172453704</v>
      </c>
      <c r="L43" s="11">
        <v>45981.0</v>
      </c>
      <c r="M43" s="11">
        <v>45980.0</v>
      </c>
      <c r="N43" s="12">
        <v>0.7686111111111111</v>
      </c>
      <c r="O43" s="12">
        <v>0.03172453703703704</v>
      </c>
      <c r="P43" s="13">
        <v>45982.0</v>
      </c>
      <c r="Q43" s="8" t="s">
        <v>506</v>
      </c>
      <c r="R43" s="8" t="s">
        <v>73</v>
      </c>
      <c r="S43" s="8">
        <v>64.99</v>
      </c>
      <c r="T43" s="8">
        <v>4.99</v>
      </c>
      <c r="U43" s="8">
        <v>69.98</v>
      </c>
      <c r="V43" s="8" t="s">
        <v>507</v>
      </c>
      <c r="W43" s="8" t="s">
        <v>508</v>
      </c>
      <c r="X43" s="8" t="s">
        <v>509</v>
      </c>
      <c r="AA43" s="8" t="s">
        <v>510</v>
      </c>
      <c r="AB43" s="8" t="s">
        <v>192</v>
      </c>
      <c r="AC43" s="8" t="s">
        <v>59</v>
      </c>
      <c r="AD43" s="8">
        <v>60185.0</v>
      </c>
      <c r="AE43" s="8" t="s">
        <v>59</v>
      </c>
      <c r="AF43" s="8" t="s">
        <v>192</v>
      </c>
      <c r="AG43" s="8" t="s">
        <v>511</v>
      </c>
      <c r="AH43" s="8" t="s">
        <v>512</v>
      </c>
      <c r="AI43" s="8">
        <v>35.52</v>
      </c>
      <c r="AK43" s="8" t="s">
        <v>502</v>
      </c>
      <c r="AM43" s="8">
        <v>1.0</v>
      </c>
      <c r="AN43" s="8">
        <v>23.96</v>
      </c>
      <c r="AO43" s="8">
        <v>591.0</v>
      </c>
      <c r="AP43" s="8" t="s">
        <v>62</v>
      </c>
      <c r="AQ43" s="8" t="s">
        <v>63</v>
      </c>
      <c r="AR43" s="8">
        <v>34.46</v>
      </c>
      <c r="AS43" s="8">
        <v>0.0</v>
      </c>
      <c r="AT43" s="8">
        <v>0.0</v>
      </c>
      <c r="AU43" s="8"/>
      <c r="AV43" s="8"/>
    </row>
    <row r="44" ht="15.75" customHeight="1">
      <c r="A44" s="8" t="s">
        <v>513</v>
      </c>
      <c r="B44" s="8" t="s">
        <v>514</v>
      </c>
      <c r="C44" s="8" t="s">
        <v>218</v>
      </c>
      <c r="D44" s="8" t="s">
        <v>145</v>
      </c>
      <c r="E44" s="8" t="s">
        <v>219</v>
      </c>
      <c r="F44" s="9" t="s">
        <v>147</v>
      </c>
      <c r="G44" s="8">
        <v>1.0</v>
      </c>
      <c r="H44" s="8" t="s">
        <v>148</v>
      </c>
      <c r="I44" s="8" t="s">
        <v>71</v>
      </c>
      <c r="J44" s="10">
        <v>45981.769155092596</v>
      </c>
      <c r="K44" s="10">
        <v>45980.138865740744</v>
      </c>
      <c r="L44" s="11">
        <v>45981.0</v>
      </c>
      <c r="M44" s="11">
        <v>45980.0</v>
      </c>
      <c r="N44" s="12">
        <v>0.7691550925925926</v>
      </c>
      <c r="O44" s="12">
        <v>0.13886574074074073</v>
      </c>
      <c r="P44" s="13">
        <v>45982.0</v>
      </c>
      <c r="Q44" s="8" t="s">
        <v>515</v>
      </c>
      <c r="R44" s="8" t="s">
        <v>73</v>
      </c>
      <c r="S44" s="8">
        <v>36.95</v>
      </c>
      <c r="T44" s="8">
        <v>4.99</v>
      </c>
      <c r="U44" s="8">
        <v>41.94</v>
      </c>
      <c r="V44" s="8" t="s">
        <v>516</v>
      </c>
      <c r="W44" s="8" t="s">
        <v>517</v>
      </c>
      <c r="X44" s="8" t="s">
        <v>518</v>
      </c>
      <c r="Y44" s="8" t="s">
        <v>518</v>
      </c>
      <c r="AA44" s="8" t="s">
        <v>519</v>
      </c>
      <c r="AB44" s="8" t="s">
        <v>520</v>
      </c>
      <c r="AC44" s="8" t="s">
        <v>59</v>
      </c>
      <c r="AD44" s="8">
        <v>39402.0</v>
      </c>
      <c r="AE44" s="8" t="s">
        <v>59</v>
      </c>
      <c r="AF44" s="8" t="s">
        <v>520</v>
      </c>
      <c r="AG44" s="8" t="s">
        <v>154</v>
      </c>
      <c r="AH44" s="8" t="s">
        <v>521</v>
      </c>
      <c r="AI44" s="8">
        <v>27.65</v>
      </c>
      <c r="AK44" s="8" t="s">
        <v>156</v>
      </c>
      <c r="AM44" s="8">
        <v>1.0</v>
      </c>
      <c r="AN44" s="8">
        <v>8.0</v>
      </c>
      <c r="AO44" s="8">
        <v>591.0</v>
      </c>
      <c r="AP44" s="8" t="s">
        <v>62</v>
      </c>
      <c r="AQ44" s="8" t="s">
        <v>63</v>
      </c>
      <c r="AR44" s="8">
        <v>14.29</v>
      </c>
      <c r="AS44" s="8">
        <v>0.0</v>
      </c>
      <c r="AT44" s="8">
        <v>0.0</v>
      </c>
      <c r="AU44" s="8"/>
      <c r="AV44" s="8"/>
    </row>
    <row r="45" ht="15.75" customHeight="1">
      <c r="A45" s="8" t="s">
        <v>522</v>
      </c>
      <c r="B45" s="8" t="s">
        <v>523</v>
      </c>
      <c r="C45" s="8" t="s">
        <v>524</v>
      </c>
      <c r="D45" s="8" t="s">
        <v>525</v>
      </c>
      <c r="E45" s="8" t="s">
        <v>526</v>
      </c>
      <c r="F45" s="9" t="s">
        <v>527</v>
      </c>
      <c r="G45" s="8">
        <v>1.0</v>
      </c>
      <c r="H45" s="8" t="s">
        <v>528</v>
      </c>
      <c r="I45" s="8" t="s">
        <v>71</v>
      </c>
      <c r="J45" s="10">
        <v>45981.768796296295</v>
      </c>
      <c r="K45" s="10">
        <v>45980.144583333335</v>
      </c>
      <c r="L45" s="11">
        <v>45981.0</v>
      </c>
      <c r="M45" s="11">
        <v>45980.0</v>
      </c>
      <c r="N45" s="12">
        <v>0.7687962962962963</v>
      </c>
      <c r="O45" s="12">
        <v>0.14458333333333334</v>
      </c>
      <c r="P45" s="13">
        <v>45982.0</v>
      </c>
      <c r="Q45" s="8" t="s">
        <v>529</v>
      </c>
      <c r="R45" s="8" t="s">
        <v>73</v>
      </c>
      <c r="S45" s="8">
        <v>68.98</v>
      </c>
      <c r="T45" s="8">
        <v>4.99</v>
      </c>
      <c r="U45" s="8">
        <v>73.97</v>
      </c>
      <c r="V45" s="8" t="s">
        <v>530</v>
      </c>
      <c r="W45" s="8" t="s">
        <v>531</v>
      </c>
      <c r="X45" s="8" t="s">
        <v>532</v>
      </c>
      <c r="AA45" s="8" t="s">
        <v>533</v>
      </c>
      <c r="AB45" s="8" t="s">
        <v>534</v>
      </c>
      <c r="AC45" s="8" t="s">
        <v>59</v>
      </c>
      <c r="AD45" s="8">
        <v>30273.0</v>
      </c>
      <c r="AE45" s="8" t="s">
        <v>59</v>
      </c>
      <c r="AF45" s="8" t="s">
        <v>534</v>
      </c>
      <c r="AG45" s="8" t="s">
        <v>535</v>
      </c>
      <c r="AH45" s="8" t="s">
        <v>536</v>
      </c>
      <c r="AI45" s="8">
        <v>47.37</v>
      </c>
      <c r="AK45" s="8" t="s">
        <v>537</v>
      </c>
      <c r="AM45" s="8">
        <v>1.0</v>
      </c>
      <c r="AN45" s="8">
        <v>15.5</v>
      </c>
      <c r="AO45" s="8">
        <v>591.0</v>
      </c>
      <c r="AP45" s="8" t="s">
        <v>62</v>
      </c>
      <c r="AQ45" s="8" t="s">
        <v>63</v>
      </c>
      <c r="AR45" s="8">
        <v>26.6</v>
      </c>
      <c r="AS45" s="8">
        <v>0.0</v>
      </c>
      <c r="AT45" s="8">
        <v>0.0</v>
      </c>
      <c r="AU45" s="8"/>
      <c r="AV45" s="8"/>
    </row>
    <row r="46" ht="15.75" customHeight="1">
      <c r="A46" s="8" t="s">
        <v>538</v>
      </c>
      <c r="B46" s="8" t="s">
        <v>539</v>
      </c>
      <c r="C46" s="8" t="s">
        <v>540</v>
      </c>
      <c r="D46" s="8" t="s">
        <v>541</v>
      </c>
      <c r="E46" s="8" t="s">
        <v>542</v>
      </c>
      <c r="F46" s="9" t="s">
        <v>543</v>
      </c>
      <c r="G46" s="8">
        <v>1.0</v>
      </c>
      <c r="H46" s="8" t="s">
        <v>544</v>
      </c>
      <c r="I46" s="8" t="s">
        <v>71</v>
      </c>
      <c r="J46" s="10">
        <v>45981.76924768519</v>
      </c>
      <c r="K46" s="10">
        <v>45980.14703703704</v>
      </c>
      <c r="L46" s="11">
        <v>45981.0</v>
      </c>
      <c r="M46" s="11">
        <v>45980.0</v>
      </c>
      <c r="N46" s="12">
        <v>0.7692476851851852</v>
      </c>
      <c r="O46" s="12">
        <v>0.14703703703703705</v>
      </c>
      <c r="P46" s="13">
        <v>45982.0</v>
      </c>
      <c r="Q46" s="8" t="s">
        <v>545</v>
      </c>
      <c r="R46" s="8" t="s">
        <v>73</v>
      </c>
      <c r="S46" s="8">
        <v>54.99</v>
      </c>
      <c r="T46" s="8">
        <v>4.99</v>
      </c>
      <c r="U46" s="8">
        <v>59.98</v>
      </c>
      <c r="V46" s="8" t="s">
        <v>546</v>
      </c>
      <c r="W46" s="8" t="s">
        <v>547</v>
      </c>
      <c r="X46" s="8" t="s">
        <v>548</v>
      </c>
      <c r="AA46" s="8" t="s">
        <v>549</v>
      </c>
      <c r="AB46" s="8" t="s">
        <v>550</v>
      </c>
      <c r="AC46" s="8" t="s">
        <v>59</v>
      </c>
      <c r="AD46" s="8">
        <v>27546.0</v>
      </c>
      <c r="AE46" s="8" t="s">
        <v>59</v>
      </c>
      <c r="AF46" s="8" t="s">
        <v>550</v>
      </c>
      <c r="AG46" s="8" t="s">
        <v>551</v>
      </c>
      <c r="AH46" s="8" t="s">
        <v>552</v>
      </c>
      <c r="AI46" s="8">
        <v>44.27</v>
      </c>
      <c r="AK46" s="8" t="s">
        <v>553</v>
      </c>
      <c r="AM46" s="8">
        <v>1.0</v>
      </c>
      <c r="AN46" s="8">
        <v>6.71</v>
      </c>
      <c r="AO46" s="8">
        <v>591.0</v>
      </c>
      <c r="AP46" s="8" t="s">
        <v>62</v>
      </c>
      <c r="AQ46" s="8" t="s">
        <v>63</v>
      </c>
      <c r="AR46" s="8">
        <v>15.71</v>
      </c>
      <c r="AS46" s="8">
        <v>0.0</v>
      </c>
      <c r="AT46" s="8">
        <v>0.0</v>
      </c>
      <c r="AU46" s="8"/>
      <c r="AV46" s="8"/>
    </row>
    <row r="47" ht="15.75" customHeight="1">
      <c r="A47" s="8" t="s">
        <v>554</v>
      </c>
      <c r="B47" s="8" t="s">
        <v>555</v>
      </c>
      <c r="C47" s="8" t="s">
        <v>443</v>
      </c>
      <c r="D47" s="8" t="s">
        <v>171</v>
      </c>
      <c r="E47" s="8" t="s">
        <v>444</v>
      </c>
      <c r="F47" s="9" t="s">
        <v>173</v>
      </c>
      <c r="G47" s="8">
        <v>1.0</v>
      </c>
      <c r="H47" s="8" t="s">
        <v>174</v>
      </c>
      <c r="I47" s="8" t="s">
        <v>71</v>
      </c>
      <c r="J47" s="10">
        <v>45981.768796296295</v>
      </c>
      <c r="K47" s="10">
        <v>45980.1634837963</v>
      </c>
      <c r="L47" s="11">
        <v>45981.0</v>
      </c>
      <c r="M47" s="11">
        <v>45980.0</v>
      </c>
      <c r="N47" s="12">
        <v>0.7687962962962963</v>
      </c>
      <c r="O47" s="12">
        <v>0.1634837962962963</v>
      </c>
      <c r="P47" s="13">
        <v>45982.0</v>
      </c>
      <c r="Q47" s="8" t="s">
        <v>556</v>
      </c>
      <c r="R47" s="8" t="s">
        <v>73</v>
      </c>
      <c r="S47" s="8">
        <v>34.99</v>
      </c>
      <c r="T47" s="8">
        <v>4.99</v>
      </c>
      <c r="U47" s="8">
        <v>39.98</v>
      </c>
      <c r="V47" s="8" t="s">
        <v>557</v>
      </c>
      <c r="W47" s="8" t="s">
        <v>558</v>
      </c>
      <c r="X47" s="8" t="s">
        <v>559</v>
      </c>
      <c r="AA47" s="8" t="s">
        <v>560</v>
      </c>
      <c r="AB47" s="8" t="s">
        <v>214</v>
      </c>
      <c r="AC47" s="8" t="s">
        <v>59</v>
      </c>
      <c r="AD47" s="8" t="s">
        <v>561</v>
      </c>
      <c r="AE47" s="8" t="s">
        <v>59</v>
      </c>
      <c r="AF47" s="8" t="s">
        <v>214</v>
      </c>
      <c r="AG47" s="8" t="s">
        <v>180</v>
      </c>
      <c r="AH47" s="8" t="s">
        <v>562</v>
      </c>
      <c r="AI47" s="8">
        <v>27.62</v>
      </c>
      <c r="AK47" s="8" t="s">
        <v>182</v>
      </c>
      <c r="AM47" s="8">
        <v>1.0</v>
      </c>
      <c r="AN47" s="8">
        <v>6.36</v>
      </c>
      <c r="AO47" s="8">
        <v>591.0</v>
      </c>
      <c r="AP47" s="8" t="s">
        <v>62</v>
      </c>
      <c r="AQ47" s="8" t="s">
        <v>63</v>
      </c>
      <c r="AR47" s="8">
        <v>12.36</v>
      </c>
      <c r="AS47" s="8">
        <v>0.0</v>
      </c>
      <c r="AT47" s="8">
        <v>0.0</v>
      </c>
      <c r="AU47" s="8"/>
      <c r="AV47" s="8"/>
    </row>
    <row r="48" ht="15.75" customHeight="1">
      <c r="A48" s="8" t="s">
        <v>563</v>
      </c>
      <c r="B48" s="8" t="s">
        <v>564</v>
      </c>
      <c r="C48" s="8" t="s">
        <v>565</v>
      </c>
      <c r="D48" s="8" t="s">
        <v>566</v>
      </c>
      <c r="E48" s="8" t="s">
        <v>567</v>
      </c>
      <c r="F48" s="9" t="s">
        <v>568</v>
      </c>
      <c r="G48" s="8">
        <v>1.0</v>
      </c>
      <c r="H48" s="8" t="s">
        <v>569</v>
      </c>
      <c r="I48" s="8" t="s">
        <v>71</v>
      </c>
      <c r="J48" s="10">
        <v>45987.20775462963</v>
      </c>
      <c r="K48" s="10">
        <v>45980.170752314814</v>
      </c>
      <c r="L48" s="11">
        <v>45987.0</v>
      </c>
      <c r="M48" s="11">
        <v>45980.0</v>
      </c>
      <c r="N48" s="12">
        <v>0.20775462962962962</v>
      </c>
      <c r="O48" s="12">
        <v>0.17075231481481482</v>
      </c>
      <c r="P48" s="13">
        <v>45982.0</v>
      </c>
      <c r="Q48" s="8" t="s">
        <v>570</v>
      </c>
      <c r="R48" s="8" t="s">
        <v>73</v>
      </c>
      <c r="S48" s="8">
        <v>19.95</v>
      </c>
      <c r="T48" s="8">
        <v>4.99</v>
      </c>
      <c r="U48" s="8">
        <v>24.94</v>
      </c>
      <c r="V48" s="8" t="s">
        <v>571</v>
      </c>
      <c r="W48" s="8" t="s">
        <v>572</v>
      </c>
      <c r="X48" s="8" t="s">
        <v>573</v>
      </c>
      <c r="Z48" s="8">
        <f>19736327479</f>
        <v>19736327479</v>
      </c>
      <c r="AA48" s="8" t="s">
        <v>574</v>
      </c>
      <c r="AB48" s="8" t="s">
        <v>575</v>
      </c>
      <c r="AC48" s="8" t="s">
        <v>59</v>
      </c>
      <c r="AD48" s="8">
        <v>8873.0</v>
      </c>
      <c r="AE48" s="8" t="s">
        <v>59</v>
      </c>
      <c r="AF48" s="8" t="s">
        <v>575</v>
      </c>
      <c r="AG48" s="8" t="s">
        <v>576</v>
      </c>
      <c r="AH48" s="8" t="s">
        <v>577</v>
      </c>
      <c r="AI48" s="8">
        <v>15.49</v>
      </c>
      <c r="AK48" s="8" t="s">
        <v>566</v>
      </c>
      <c r="AM48" s="8">
        <v>1.0</v>
      </c>
      <c r="AN48" s="8">
        <v>5.71</v>
      </c>
      <c r="AO48" s="8">
        <v>591.0</v>
      </c>
      <c r="AP48" s="8" t="s">
        <v>62</v>
      </c>
      <c r="AQ48" s="8" t="s">
        <v>63</v>
      </c>
      <c r="AR48" s="8">
        <v>9.45</v>
      </c>
      <c r="AS48" s="8">
        <v>0.0</v>
      </c>
      <c r="AT48" s="8">
        <v>0.0</v>
      </c>
      <c r="AU48" s="8"/>
      <c r="AV48" s="8"/>
    </row>
    <row r="49" ht="15.75" customHeight="1">
      <c r="A49" s="8" t="s">
        <v>578</v>
      </c>
      <c r="B49" s="8" t="s">
        <v>579</v>
      </c>
      <c r="C49" s="8" t="s">
        <v>580</v>
      </c>
      <c r="D49" s="8" t="s">
        <v>525</v>
      </c>
      <c r="E49" s="8" t="s">
        <v>581</v>
      </c>
      <c r="F49" s="9" t="s">
        <v>527</v>
      </c>
      <c r="G49" s="8">
        <v>1.0</v>
      </c>
      <c r="H49" s="8" t="s">
        <v>528</v>
      </c>
      <c r="I49" s="8" t="s">
        <v>71</v>
      </c>
      <c r="J49" s="10">
        <v>45981.768796296295</v>
      </c>
      <c r="K49" s="10">
        <v>45980.18517361111</v>
      </c>
      <c r="L49" s="11">
        <v>45981.0</v>
      </c>
      <c r="M49" s="11">
        <v>45980.0</v>
      </c>
      <c r="N49" s="12">
        <v>0.7687962962962963</v>
      </c>
      <c r="O49" s="12">
        <v>0.1851736111111111</v>
      </c>
      <c r="P49" s="13">
        <v>45982.0</v>
      </c>
      <c r="Q49" s="8" t="s">
        <v>582</v>
      </c>
      <c r="R49" s="8" t="s">
        <v>73</v>
      </c>
      <c r="S49" s="8">
        <v>68.98</v>
      </c>
      <c r="T49" s="8">
        <v>4.99</v>
      </c>
      <c r="U49" s="8">
        <v>73.97</v>
      </c>
      <c r="V49" s="8" t="s">
        <v>583</v>
      </c>
      <c r="W49" s="8" t="s">
        <v>584</v>
      </c>
      <c r="X49" s="8" t="s">
        <v>585</v>
      </c>
      <c r="Z49" s="8">
        <f>19042372446</f>
        <v>19042372446</v>
      </c>
      <c r="AA49" s="8" t="s">
        <v>586</v>
      </c>
      <c r="AB49" s="8" t="s">
        <v>153</v>
      </c>
      <c r="AC49" s="8" t="s">
        <v>59</v>
      </c>
      <c r="AD49" s="8">
        <v>32222.0</v>
      </c>
      <c r="AE49" s="8" t="s">
        <v>59</v>
      </c>
      <c r="AF49" s="8" t="s">
        <v>153</v>
      </c>
      <c r="AG49" s="8" t="s">
        <v>535</v>
      </c>
      <c r="AH49" s="8" t="s">
        <v>587</v>
      </c>
      <c r="AI49" s="8">
        <v>47.37</v>
      </c>
      <c r="AK49" s="8" t="s">
        <v>537</v>
      </c>
      <c r="AM49" s="8">
        <v>1.0</v>
      </c>
      <c r="AN49" s="8">
        <v>15.5</v>
      </c>
      <c r="AO49" s="8">
        <v>591.0</v>
      </c>
      <c r="AP49" s="8" t="s">
        <v>62</v>
      </c>
      <c r="AQ49" s="8" t="s">
        <v>63</v>
      </c>
      <c r="AR49" s="8">
        <v>26.6</v>
      </c>
      <c r="AS49" s="8">
        <v>0.0</v>
      </c>
      <c r="AT49" s="8">
        <v>0.0</v>
      </c>
      <c r="AU49" s="8"/>
      <c r="AV49" s="8"/>
    </row>
    <row r="50" ht="15.75" customHeight="1">
      <c r="A50" s="8" t="s">
        <v>588</v>
      </c>
      <c r="B50" s="8" t="s">
        <v>589</v>
      </c>
      <c r="C50" s="8" t="s">
        <v>590</v>
      </c>
      <c r="D50" s="8" t="s">
        <v>541</v>
      </c>
      <c r="E50" s="8" t="s">
        <v>591</v>
      </c>
      <c r="F50" s="9" t="s">
        <v>543</v>
      </c>
      <c r="G50" s="8">
        <v>1.0</v>
      </c>
      <c r="H50" s="8" t="s">
        <v>544</v>
      </c>
      <c r="I50" s="8" t="s">
        <v>71</v>
      </c>
      <c r="J50" s="10">
        <v>45981.76924768519</v>
      </c>
      <c r="K50" s="10">
        <v>45980.18974537037</v>
      </c>
      <c r="L50" s="11">
        <v>45981.0</v>
      </c>
      <c r="M50" s="11">
        <v>45980.0</v>
      </c>
      <c r="N50" s="12">
        <v>0.7692476851851852</v>
      </c>
      <c r="O50" s="12">
        <v>0.18974537037037037</v>
      </c>
      <c r="P50" s="13">
        <v>45982.0</v>
      </c>
      <c r="Q50" s="8" t="s">
        <v>592</v>
      </c>
      <c r="R50" s="8" t="s">
        <v>73</v>
      </c>
      <c r="S50" s="8">
        <v>34.99</v>
      </c>
      <c r="T50" s="8">
        <v>4.99</v>
      </c>
      <c r="U50" s="8">
        <v>39.98</v>
      </c>
      <c r="V50" s="8" t="s">
        <v>593</v>
      </c>
      <c r="W50" s="8" t="s">
        <v>594</v>
      </c>
      <c r="X50" s="8" t="s">
        <v>595</v>
      </c>
      <c r="Z50" s="8">
        <f>15169678184</f>
        <v>15169678184</v>
      </c>
      <c r="AA50" s="8" t="s">
        <v>596</v>
      </c>
      <c r="AB50" s="8" t="s">
        <v>153</v>
      </c>
      <c r="AC50" s="8" t="s">
        <v>59</v>
      </c>
      <c r="AD50" s="8">
        <v>33434.0</v>
      </c>
      <c r="AE50" s="8" t="s">
        <v>59</v>
      </c>
      <c r="AF50" s="8" t="s">
        <v>153</v>
      </c>
      <c r="AG50" s="8" t="s">
        <v>551</v>
      </c>
      <c r="AH50" s="8" t="s">
        <v>597</v>
      </c>
      <c r="AI50" s="8">
        <v>28.94</v>
      </c>
      <c r="AK50" s="8" t="s">
        <v>553</v>
      </c>
      <c r="AM50" s="8">
        <v>1.0</v>
      </c>
      <c r="AN50" s="8">
        <v>5.04</v>
      </c>
      <c r="AO50" s="8">
        <v>591.0</v>
      </c>
      <c r="AP50" s="8" t="s">
        <v>62</v>
      </c>
      <c r="AQ50" s="8" t="s">
        <v>63</v>
      </c>
      <c r="AR50" s="8">
        <v>11.04</v>
      </c>
      <c r="AS50" s="8">
        <v>0.0</v>
      </c>
      <c r="AT50" s="8">
        <v>0.0</v>
      </c>
      <c r="AU50" s="8"/>
      <c r="AV50" s="8"/>
    </row>
    <row r="51" ht="15.75" customHeight="1">
      <c r="A51" s="8" t="s">
        <v>598</v>
      </c>
      <c r="B51" s="8" t="s">
        <v>599</v>
      </c>
      <c r="C51" s="8" t="s">
        <v>600</v>
      </c>
      <c r="D51" s="8" t="s">
        <v>541</v>
      </c>
      <c r="E51" s="8" t="s">
        <v>601</v>
      </c>
      <c r="F51" s="9" t="s">
        <v>543</v>
      </c>
      <c r="G51" s="8">
        <v>1.0</v>
      </c>
      <c r="H51" s="8" t="s">
        <v>544</v>
      </c>
      <c r="I51" s="8" t="s">
        <v>71</v>
      </c>
      <c r="J51" s="10">
        <v>45981.76924768519</v>
      </c>
      <c r="K51" s="10">
        <v>45980.19898148148</v>
      </c>
      <c r="L51" s="11">
        <v>45981.0</v>
      </c>
      <c r="M51" s="11">
        <v>45980.0</v>
      </c>
      <c r="N51" s="12">
        <v>0.7692476851851852</v>
      </c>
      <c r="O51" s="12">
        <v>0.19898148148148148</v>
      </c>
      <c r="P51" s="13">
        <v>45982.0</v>
      </c>
      <c r="Q51" s="8" t="s">
        <v>602</v>
      </c>
      <c r="R51" s="8" t="s">
        <v>73</v>
      </c>
      <c r="S51" s="8">
        <v>54.99</v>
      </c>
      <c r="T51" s="8">
        <v>4.99</v>
      </c>
      <c r="U51" s="8">
        <v>59.98</v>
      </c>
      <c r="V51" s="8" t="s">
        <v>603</v>
      </c>
      <c r="W51" s="8" t="s">
        <v>604</v>
      </c>
      <c r="X51" s="8" t="s">
        <v>605</v>
      </c>
      <c r="Z51" s="8">
        <f>12142369081</f>
        <v>12142369081</v>
      </c>
      <c r="AA51" s="8" t="s">
        <v>606</v>
      </c>
      <c r="AB51" s="8" t="s">
        <v>214</v>
      </c>
      <c r="AC51" s="8" t="s">
        <v>59</v>
      </c>
      <c r="AD51" s="8">
        <v>76034.0</v>
      </c>
      <c r="AE51" s="8" t="s">
        <v>59</v>
      </c>
      <c r="AF51" s="8" t="s">
        <v>214</v>
      </c>
      <c r="AG51" s="8" t="s">
        <v>551</v>
      </c>
      <c r="AH51" s="8" t="s">
        <v>607</v>
      </c>
      <c r="AI51" s="8">
        <v>44.27</v>
      </c>
      <c r="AK51" s="8" t="s">
        <v>553</v>
      </c>
      <c r="AM51" s="8">
        <v>1.0</v>
      </c>
      <c r="AN51" s="8">
        <v>6.71</v>
      </c>
      <c r="AO51" s="8">
        <v>591.0</v>
      </c>
      <c r="AP51" s="8" t="s">
        <v>62</v>
      </c>
      <c r="AQ51" s="8" t="s">
        <v>63</v>
      </c>
      <c r="AR51" s="8">
        <v>15.71</v>
      </c>
      <c r="AS51" s="8">
        <v>0.0</v>
      </c>
      <c r="AT51" s="8">
        <v>0.0</v>
      </c>
      <c r="AU51" s="8"/>
      <c r="AV51" s="8"/>
    </row>
    <row r="52" ht="15.75" customHeight="1">
      <c r="A52" s="8" t="s">
        <v>608</v>
      </c>
      <c r="B52" s="8" t="s">
        <v>609</v>
      </c>
      <c r="C52" s="8" t="s">
        <v>610</v>
      </c>
      <c r="D52" s="8" t="s">
        <v>171</v>
      </c>
      <c r="E52" s="8" t="s">
        <v>611</v>
      </c>
      <c r="F52" s="9" t="s">
        <v>173</v>
      </c>
      <c r="G52" s="8">
        <v>2.0</v>
      </c>
      <c r="H52" s="8" t="s">
        <v>174</v>
      </c>
      <c r="I52" s="8" t="s">
        <v>71</v>
      </c>
      <c r="J52" s="10">
        <v>45981.768796296295</v>
      </c>
      <c r="K52" s="10">
        <v>45980.205879629626</v>
      </c>
      <c r="L52" s="11">
        <v>45981.0</v>
      </c>
      <c r="M52" s="11">
        <v>45980.0</v>
      </c>
      <c r="N52" s="12">
        <v>0.7687962962962963</v>
      </c>
      <c r="O52" s="12">
        <v>0.20587962962962963</v>
      </c>
      <c r="P52" s="13">
        <v>45982.0</v>
      </c>
      <c r="Q52" s="8" t="s">
        <v>612</v>
      </c>
      <c r="R52" s="8" t="s">
        <v>73</v>
      </c>
      <c r="S52" s="8">
        <v>66.99</v>
      </c>
      <c r="T52" s="8">
        <v>4.99</v>
      </c>
      <c r="U52" s="8">
        <v>138.97</v>
      </c>
      <c r="V52" s="8" t="s">
        <v>613</v>
      </c>
      <c r="W52" s="8" t="s">
        <v>614</v>
      </c>
      <c r="X52" s="8" t="s">
        <v>615</v>
      </c>
      <c r="AA52" s="8" t="s">
        <v>616</v>
      </c>
      <c r="AB52" s="8" t="s">
        <v>166</v>
      </c>
      <c r="AC52" s="8" t="s">
        <v>59</v>
      </c>
      <c r="AD52" s="8">
        <v>50315.0</v>
      </c>
      <c r="AE52" s="8" t="s">
        <v>59</v>
      </c>
      <c r="AF52" s="8" t="s">
        <v>166</v>
      </c>
      <c r="AG52" s="8" t="s">
        <v>180</v>
      </c>
      <c r="AH52" s="8" t="s">
        <v>617</v>
      </c>
      <c r="AI52" s="8">
        <v>84.72</v>
      </c>
      <c r="AK52" s="8" t="s">
        <v>182</v>
      </c>
      <c r="AM52" s="8">
        <v>2.0</v>
      </c>
      <c r="AN52" s="8">
        <v>16.7</v>
      </c>
      <c r="AO52" s="8">
        <v>591.0</v>
      </c>
      <c r="AP52" s="8" t="s">
        <v>62</v>
      </c>
      <c r="AQ52" s="8" t="s">
        <v>63</v>
      </c>
      <c r="AR52" s="8">
        <v>54.25</v>
      </c>
      <c r="AS52" s="8">
        <v>0.0</v>
      </c>
      <c r="AT52" s="8">
        <v>0.0</v>
      </c>
      <c r="AU52" s="8"/>
      <c r="AV52" s="8"/>
    </row>
    <row r="53" ht="15.75" customHeight="1">
      <c r="A53" s="8" t="s">
        <v>618</v>
      </c>
      <c r="B53" s="8" t="s">
        <v>619</v>
      </c>
      <c r="C53" s="8" t="s">
        <v>620</v>
      </c>
      <c r="D53" s="8" t="s">
        <v>621</v>
      </c>
      <c r="E53" s="8" t="s">
        <v>622</v>
      </c>
      <c r="F53" s="9" t="s">
        <v>623</v>
      </c>
      <c r="G53" s="8">
        <v>1.0</v>
      </c>
      <c r="H53" s="8" t="s">
        <v>624</v>
      </c>
      <c r="I53" s="8" t="s">
        <v>71</v>
      </c>
      <c r="J53" s="10">
        <v>45981.769155092596</v>
      </c>
      <c r="K53" s="10">
        <v>45980.21240740741</v>
      </c>
      <c r="L53" s="11">
        <v>45981.0</v>
      </c>
      <c r="M53" s="11">
        <v>45980.0</v>
      </c>
      <c r="N53" s="12">
        <v>0.7691550925925926</v>
      </c>
      <c r="O53" s="12">
        <v>0.2124074074074074</v>
      </c>
      <c r="P53" s="13">
        <v>45982.0</v>
      </c>
      <c r="Q53" s="8" t="s">
        <v>625</v>
      </c>
      <c r="R53" s="8" t="s">
        <v>73</v>
      </c>
      <c r="S53" s="8">
        <v>32.96</v>
      </c>
      <c r="T53" s="8">
        <v>4.99</v>
      </c>
      <c r="U53" s="8">
        <v>37.95</v>
      </c>
      <c r="V53" s="8" t="s">
        <v>626</v>
      </c>
      <c r="W53" s="8" t="s">
        <v>627</v>
      </c>
      <c r="X53" s="8" t="s">
        <v>628</v>
      </c>
      <c r="Z53" s="8">
        <f>15083691058</f>
        <v>15083691058</v>
      </c>
      <c r="AA53" s="8" t="s">
        <v>629</v>
      </c>
      <c r="AB53" s="8" t="s">
        <v>153</v>
      </c>
      <c r="AC53" s="8" t="s">
        <v>59</v>
      </c>
      <c r="AD53" s="8">
        <v>32141.0</v>
      </c>
      <c r="AE53" s="8" t="s">
        <v>59</v>
      </c>
      <c r="AF53" s="8" t="s">
        <v>153</v>
      </c>
      <c r="AG53" s="8" t="s">
        <v>630</v>
      </c>
      <c r="AH53" s="8" t="s">
        <v>631</v>
      </c>
      <c r="AI53" s="8">
        <v>27.48</v>
      </c>
      <c r="AK53" s="8" t="s">
        <v>632</v>
      </c>
      <c r="AM53" s="8">
        <v>1.0</v>
      </c>
      <c r="AN53" s="8">
        <v>4.78</v>
      </c>
      <c r="AO53" s="8">
        <v>591.0</v>
      </c>
      <c r="AP53" s="8" t="s">
        <v>62</v>
      </c>
      <c r="AQ53" s="8" t="s">
        <v>63</v>
      </c>
      <c r="AR53" s="8">
        <v>10.47</v>
      </c>
      <c r="AS53" s="8">
        <v>0.0</v>
      </c>
      <c r="AT53" s="8">
        <v>0.0</v>
      </c>
      <c r="AU53" s="8"/>
      <c r="AV53" s="8"/>
    </row>
    <row r="54" ht="15.75" customHeight="1">
      <c r="A54" s="8" t="s">
        <v>633</v>
      </c>
      <c r="B54" s="8" t="s">
        <v>634</v>
      </c>
      <c r="C54" s="8" t="s">
        <v>286</v>
      </c>
      <c r="D54" s="8" t="s">
        <v>171</v>
      </c>
      <c r="E54" s="8" t="s">
        <v>287</v>
      </c>
      <c r="F54" s="9" t="s">
        <v>173</v>
      </c>
      <c r="G54" s="8">
        <v>1.0</v>
      </c>
      <c r="H54" s="8" t="s">
        <v>174</v>
      </c>
      <c r="I54" s="8" t="s">
        <v>71</v>
      </c>
      <c r="J54" s="10">
        <v>45981.768796296295</v>
      </c>
      <c r="K54" s="10">
        <v>45980.227743055555</v>
      </c>
      <c r="L54" s="11">
        <v>45981.0</v>
      </c>
      <c r="M54" s="11">
        <v>45980.0</v>
      </c>
      <c r="N54" s="12">
        <v>0.7687962962962963</v>
      </c>
      <c r="O54" s="12">
        <v>0.22774305555555555</v>
      </c>
      <c r="P54" s="13">
        <v>45982.0</v>
      </c>
      <c r="Q54" s="8" t="s">
        <v>635</v>
      </c>
      <c r="R54" s="8" t="s">
        <v>73</v>
      </c>
      <c r="S54" s="8">
        <v>49.88</v>
      </c>
      <c r="T54" s="8">
        <v>4.99</v>
      </c>
      <c r="U54" s="8">
        <v>54.87</v>
      </c>
      <c r="V54" s="8" t="s">
        <v>636</v>
      </c>
      <c r="W54" s="8" t="s">
        <v>637</v>
      </c>
      <c r="X54" s="8" t="s">
        <v>638</v>
      </c>
      <c r="Z54" s="8">
        <f>13344623995</f>
        <v>13344623995</v>
      </c>
      <c r="AA54" s="8" t="s">
        <v>639</v>
      </c>
      <c r="AB54" s="8" t="s">
        <v>640</v>
      </c>
      <c r="AC54" s="8" t="s">
        <v>59</v>
      </c>
      <c r="AD54" s="8">
        <v>36832.0</v>
      </c>
      <c r="AE54" s="8" t="s">
        <v>59</v>
      </c>
      <c r="AF54" s="8" t="s">
        <v>640</v>
      </c>
      <c r="AG54" s="8" t="s">
        <v>180</v>
      </c>
      <c r="AH54" s="8" t="s">
        <v>641</v>
      </c>
      <c r="AI54" s="8">
        <v>33.44</v>
      </c>
      <c r="AK54" s="8" t="s">
        <v>182</v>
      </c>
      <c r="AM54" s="8">
        <v>1.0</v>
      </c>
      <c r="AN54" s="8">
        <v>13.2</v>
      </c>
      <c r="AO54" s="8">
        <v>591.0</v>
      </c>
      <c r="AP54" s="8" t="s">
        <v>62</v>
      </c>
      <c r="AQ54" s="8" t="s">
        <v>63</v>
      </c>
      <c r="AR54" s="8">
        <v>21.43</v>
      </c>
      <c r="AS54" s="8">
        <v>0.0</v>
      </c>
      <c r="AT54" s="8">
        <v>0.0</v>
      </c>
      <c r="AU54" s="8"/>
      <c r="AV54" s="8"/>
    </row>
    <row r="55" ht="15.75" customHeight="1">
      <c r="A55" s="8" t="s">
        <v>642</v>
      </c>
      <c r="B55" s="8" t="s">
        <v>643</v>
      </c>
      <c r="C55" s="8" t="s">
        <v>644</v>
      </c>
      <c r="D55" s="8" t="s">
        <v>645</v>
      </c>
      <c r="E55" s="8" t="s">
        <v>646</v>
      </c>
      <c r="F55" s="9" t="s">
        <v>647</v>
      </c>
      <c r="G55" s="8">
        <v>1.0</v>
      </c>
      <c r="H55" s="8" t="s">
        <v>648</v>
      </c>
      <c r="I55" s="8" t="s">
        <v>71</v>
      </c>
      <c r="J55" s="10">
        <v>45981.768796296295</v>
      </c>
      <c r="K55" s="10">
        <v>45980.2309837963</v>
      </c>
      <c r="L55" s="11">
        <v>45981.0</v>
      </c>
      <c r="M55" s="11">
        <v>45980.0</v>
      </c>
      <c r="N55" s="12">
        <v>0.7687962962962963</v>
      </c>
      <c r="O55" s="12">
        <v>0.23098379629629628</v>
      </c>
      <c r="P55" s="13">
        <v>45982.0</v>
      </c>
      <c r="Q55" s="8" t="s">
        <v>649</v>
      </c>
      <c r="R55" s="8" t="s">
        <v>650</v>
      </c>
      <c r="S55" s="8">
        <v>34.99</v>
      </c>
      <c r="T55" s="8">
        <v>4.99</v>
      </c>
      <c r="U55" s="8">
        <v>39.98</v>
      </c>
      <c r="V55" s="8" t="s">
        <v>651</v>
      </c>
      <c r="W55" s="8" t="s">
        <v>652</v>
      </c>
      <c r="X55" s="8" t="s">
        <v>653</v>
      </c>
      <c r="AA55" s="8" t="s">
        <v>654</v>
      </c>
      <c r="AC55" s="8" t="s">
        <v>655</v>
      </c>
      <c r="AD55" s="8">
        <v>58452.0</v>
      </c>
      <c r="AE55" s="8" t="s">
        <v>655</v>
      </c>
      <c r="AG55" s="8" t="s">
        <v>656</v>
      </c>
      <c r="AH55" s="8" t="s">
        <v>657</v>
      </c>
      <c r="AI55" s="8">
        <v>19.32</v>
      </c>
      <c r="AK55" s="8" t="s">
        <v>645</v>
      </c>
      <c r="AM55" s="8">
        <v>1.0</v>
      </c>
      <c r="AN55" s="8">
        <v>11.66</v>
      </c>
      <c r="AO55" s="8">
        <v>591.0</v>
      </c>
      <c r="AP55" s="8" t="s">
        <v>62</v>
      </c>
      <c r="AQ55" s="8" t="s">
        <v>63</v>
      </c>
      <c r="AR55" s="8">
        <v>17.66</v>
      </c>
      <c r="AS55" s="8">
        <v>3.0</v>
      </c>
      <c r="AT55" s="8">
        <v>0.0</v>
      </c>
      <c r="AU55" s="8"/>
      <c r="AV55" s="8"/>
    </row>
    <row r="56" ht="15.75" customHeight="1">
      <c r="A56" s="8" t="s">
        <v>658</v>
      </c>
      <c r="B56" s="8" t="s">
        <v>659</v>
      </c>
      <c r="C56" s="8" t="s">
        <v>660</v>
      </c>
      <c r="D56" s="8" t="s">
        <v>541</v>
      </c>
      <c r="E56" s="8" t="s">
        <v>661</v>
      </c>
      <c r="F56" s="9" t="s">
        <v>543</v>
      </c>
      <c r="G56" s="8">
        <v>1.0</v>
      </c>
      <c r="H56" s="8" t="s">
        <v>544</v>
      </c>
      <c r="I56" s="8" t="s">
        <v>71</v>
      </c>
      <c r="J56" s="10">
        <v>45981.76934027778</v>
      </c>
      <c r="K56" s="10">
        <v>45980.23584490741</v>
      </c>
      <c r="L56" s="11">
        <v>45981.0</v>
      </c>
      <c r="M56" s="11">
        <v>45980.0</v>
      </c>
      <c r="N56" s="12">
        <v>0.7693402777777778</v>
      </c>
      <c r="O56" s="12">
        <v>0.2358449074074074</v>
      </c>
      <c r="P56" s="13">
        <v>45982.0</v>
      </c>
      <c r="Q56" s="8" t="s">
        <v>662</v>
      </c>
      <c r="R56" s="8" t="s">
        <v>73</v>
      </c>
      <c r="S56" s="8">
        <v>34.99</v>
      </c>
      <c r="T56" s="8">
        <v>4.99</v>
      </c>
      <c r="U56" s="8">
        <v>39.98</v>
      </c>
      <c r="V56" s="8" t="s">
        <v>663</v>
      </c>
      <c r="W56" s="8" t="s">
        <v>664</v>
      </c>
      <c r="X56" s="8" t="s">
        <v>665</v>
      </c>
      <c r="Y56" s="8" t="s">
        <v>666</v>
      </c>
      <c r="AA56" s="8" t="s">
        <v>667</v>
      </c>
      <c r="AB56" s="8" t="s">
        <v>668</v>
      </c>
      <c r="AC56" s="8" t="s">
        <v>59</v>
      </c>
      <c r="AD56" s="8">
        <v>19067.0</v>
      </c>
      <c r="AE56" s="8" t="s">
        <v>59</v>
      </c>
      <c r="AF56" s="8" t="s">
        <v>668</v>
      </c>
      <c r="AG56" s="8" t="s">
        <v>551</v>
      </c>
      <c r="AH56" s="8" t="s">
        <v>669</v>
      </c>
      <c r="AI56" s="8">
        <v>28.94</v>
      </c>
      <c r="AK56" s="8" t="s">
        <v>553</v>
      </c>
      <c r="AM56" s="8">
        <v>1.0</v>
      </c>
      <c r="AN56" s="8">
        <v>5.04</v>
      </c>
      <c r="AO56" s="8">
        <v>591.0</v>
      </c>
      <c r="AP56" s="8" t="s">
        <v>62</v>
      </c>
      <c r="AQ56" s="8" t="s">
        <v>63</v>
      </c>
      <c r="AR56" s="8">
        <v>11.04</v>
      </c>
      <c r="AS56" s="8">
        <v>0.0</v>
      </c>
      <c r="AT56" s="8">
        <v>0.0</v>
      </c>
      <c r="AU56" s="8"/>
      <c r="AV56" s="8"/>
    </row>
    <row r="57" ht="15.75" customHeight="1">
      <c r="A57" s="8" t="s">
        <v>670</v>
      </c>
      <c r="B57" s="8" t="s">
        <v>671</v>
      </c>
      <c r="C57" s="8" t="s">
        <v>405</v>
      </c>
      <c r="D57" s="8" t="s">
        <v>298</v>
      </c>
      <c r="E57" s="8" t="s">
        <v>406</v>
      </c>
      <c r="F57" s="9" t="s">
        <v>300</v>
      </c>
      <c r="G57" s="8">
        <v>1.0</v>
      </c>
      <c r="H57" s="8" t="s">
        <v>301</v>
      </c>
      <c r="I57" s="8" t="s">
        <v>71</v>
      </c>
      <c r="J57" s="10">
        <v>45981.76861111111</v>
      </c>
      <c r="K57" s="10">
        <v>45980.23971064815</v>
      </c>
      <c r="L57" s="11">
        <v>45981.0</v>
      </c>
      <c r="M57" s="11">
        <v>45980.0</v>
      </c>
      <c r="N57" s="12">
        <v>0.7686111111111111</v>
      </c>
      <c r="O57" s="12">
        <v>0.23971064814814816</v>
      </c>
      <c r="P57" s="13">
        <v>45982.0</v>
      </c>
      <c r="Q57" s="8" t="s">
        <v>672</v>
      </c>
      <c r="R57" s="8" t="s">
        <v>73</v>
      </c>
      <c r="S57" s="8">
        <v>59.99</v>
      </c>
      <c r="T57" s="8">
        <v>4.99</v>
      </c>
      <c r="U57" s="8">
        <v>64.98</v>
      </c>
      <c r="V57" s="8" t="s">
        <v>673</v>
      </c>
      <c r="W57" s="8" t="s">
        <v>674</v>
      </c>
      <c r="X57" s="8" t="s">
        <v>675</v>
      </c>
      <c r="Z57" s="8">
        <f>19173182920</f>
        <v>19173182920</v>
      </c>
      <c r="AA57" s="8" t="s">
        <v>676</v>
      </c>
      <c r="AB57" s="8" t="s">
        <v>153</v>
      </c>
      <c r="AC57" s="8" t="s">
        <v>59</v>
      </c>
      <c r="AD57" s="8">
        <v>33957.0</v>
      </c>
      <c r="AE57" s="8" t="s">
        <v>59</v>
      </c>
      <c r="AF57" s="8" t="s">
        <v>153</v>
      </c>
      <c r="AG57" s="8" t="s">
        <v>308</v>
      </c>
      <c r="AH57" s="8" t="s">
        <v>677</v>
      </c>
      <c r="AI57" s="8">
        <v>42.11</v>
      </c>
      <c r="AK57" s="8" t="s">
        <v>310</v>
      </c>
      <c r="AM57" s="8">
        <v>1.0</v>
      </c>
      <c r="AN57" s="8">
        <v>13.12</v>
      </c>
      <c r="AO57" s="8">
        <v>586.0</v>
      </c>
      <c r="AP57" s="8" t="s">
        <v>678</v>
      </c>
      <c r="AQ57" s="8" t="s">
        <v>679</v>
      </c>
      <c r="AR57" s="8">
        <v>22.87</v>
      </c>
      <c r="AS57" s="8">
        <v>0.0</v>
      </c>
      <c r="AT57" s="8">
        <v>0.0</v>
      </c>
      <c r="AU57" s="8"/>
      <c r="AV57" s="8"/>
    </row>
    <row r="58" ht="15.75" customHeight="1">
      <c r="A58" s="8" t="s">
        <v>680</v>
      </c>
      <c r="B58" s="8" t="s">
        <v>681</v>
      </c>
      <c r="C58" s="8" t="s">
        <v>682</v>
      </c>
      <c r="D58" s="8" t="s">
        <v>171</v>
      </c>
      <c r="E58" s="8" t="s">
        <v>683</v>
      </c>
      <c r="F58" s="9" t="s">
        <v>173</v>
      </c>
      <c r="G58" s="8">
        <v>1.0</v>
      </c>
      <c r="H58" s="8" t="s">
        <v>174</v>
      </c>
      <c r="I58" s="8" t="s">
        <v>71</v>
      </c>
      <c r="J58" s="10">
        <v>45981.768796296295</v>
      </c>
      <c r="K58" s="10">
        <v>45980.239756944444</v>
      </c>
      <c r="L58" s="11">
        <v>45981.0</v>
      </c>
      <c r="M58" s="11">
        <v>45980.0</v>
      </c>
      <c r="N58" s="12">
        <v>0.7687962962962963</v>
      </c>
      <c r="O58" s="12">
        <v>0.23975694444444445</v>
      </c>
      <c r="P58" s="13">
        <v>45982.0</v>
      </c>
      <c r="Q58" s="8" t="s">
        <v>684</v>
      </c>
      <c r="R58" s="8" t="s">
        <v>73</v>
      </c>
      <c r="S58" s="8">
        <v>49.88</v>
      </c>
      <c r="T58" s="8">
        <v>4.99</v>
      </c>
      <c r="U58" s="8">
        <v>54.87</v>
      </c>
      <c r="V58" s="8" t="s">
        <v>685</v>
      </c>
      <c r="W58" s="8" t="s">
        <v>686</v>
      </c>
      <c r="X58" s="8" t="s">
        <v>687</v>
      </c>
      <c r="AA58" s="8" t="s">
        <v>688</v>
      </c>
      <c r="AB58" s="8" t="s">
        <v>153</v>
      </c>
      <c r="AC58" s="8" t="s">
        <v>59</v>
      </c>
      <c r="AD58" s="8">
        <v>32118.0</v>
      </c>
      <c r="AE58" s="8" t="s">
        <v>59</v>
      </c>
      <c r="AF58" s="8" t="s">
        <v>153</v>
      </c>
      <c r="AG58" s="8" t="s">
        <v>180</v>
      </c>
      <c r="AH58" s="8" t="s">
        <v>689</v>
      </c>
      <c r="AI58" s="8">
        <v>33.44</v>
      </c>
      <c r="AK58" s="8" t="s">
        <v>182</v>
      </c>
      <c r="AM58" s="8">
        <v>1.0</v>
      </c>
      <c r="AN58" s="8">
        <v>13.2</v>
      </c>
      <c r="AO58" s="8">
        <v>591.0</v>
      </c>
      <c r="AP58" s="8" t="s">
        <v>62</v>
      </c>
      <c r="AQ58" s="8" t="s">
        <v>63</v>
      </c>
      <c r="AR58" s="8">
        <v>21.43</v>
      </c>
      <c r="AS58" s="8">
        <v>0.0</v>
      </c>
      <c r="AT58" s="8">
        <v>0.0</v>
      </c>
      <c r="AU58" s="8"/>
      <c r="AV58" s="8"/>
    </row>
    <row r="59" ht="15.75" customHeight="1">
      <c r="A59" s="8" t="s">
        <v>690</v>
      </c>
      <c r="B59" s="8" t="s">
        <v>691</v>
      </c>
      <c r="C59" s="8" t="s">
        <v>692</v>
      </c>
      <c r="D59" s="8" t="s">
        <v>502</v>
      </c>
      <c r="E59" s="8" t="s">
        <v>693</v>
      </c>
      <c r="F59" s="9" t="s">
        <v>504</v>
      </c>
      <c r="G59" s="8">
        <v>1.0</v>
      </c>
      <c r="H59" s="8" t="s">
        <v>505</v>
      </c>
      <c r="I59" s="8" t="s">
        <v>71</v>
      </c>
      <c r="J59" s="10">
        <v>45981.76861111111</v>
      </c>
      <c r="K59" s="10">
        <v>45980.246087962965</v>
      </c>
      <c r="L59" s="11">
        <v>45981.0</v>
      </c>
      <c r="M59" s="11">
        <v>45980.0</v>
      </c>
      <c r="N59" s="12">
        <v>0.7686111111111111</v>
      </c>
      <c r="O59" s="12">
        <v>0.24608796296296295</v>
      </c>
      <c r="P59" s="13">
        <v>45982.0</v>
      </c>
      <c r="Q59" s="8" t="s">
        <v>694</v>
      </c>
      <c r="R59" s="8" t="s">
        <v>73</v>
      </c>
      <c r="S59" s="8">
        <v>59.99</v>
      </c>
      <c r="T59" s="8">
        <v>4.99</v>
      </c>
      <c r="U59" s="8">
        <v>199.96</v>
      </c>
      <c r="V59" s="8" t="s">
        <v>695</v>
      </c>
      <c r="W59" s="8" t="s">
        <v>696</v>
      </c>
      <c r="X59" s="8" t="s">
        <v>697</v>
      </c>
      <c r="Z59" s="8">
        <f>2629497070</f>
        <v>2629497070</v>
      </c>
      <c r="AA59" s="8" t="s">
        <v>698</v>
      </c>
      <c r="AB59" s="8" t="s">
        <v>78</v>
      </c>
      <c r="AC59" s="8" t="s">
        <v>59</v>
      </c>
      <c r="AD59" s="8">
        <v>53115.0</v>
      </c>
      <c r="AE59" s="8" t="s">
        <v>59</v>
      </c>
      <c r="AF59" s="8" t="s">
        <v>78</v>
      </c>
      <c r="AG59" s="8" t="s">
        <v>511</v>
      </c>
      <c r="AH59" s="8" t="s">
        <v>699</v>
      </c>
      <c r="AI59" s="8">
        <v>99.49</v>
      </c>
      <c r="AK59" s="8" t="s">
        <v>502</v>
      </c>
      <c r="AM59" s="8">
        <v>1.0</v>
      </c>
      <c r="AN59" s="8">
        <v>22.0</v>
      </c>
      <c r="AO59" s="8">
        <v>591.0</v>
      </c>
      <c r="AP59" s="8" t="s">
        <v>62</v>
      </c>
      <c r="AQ59" s="8" t="s">
        <v>63</v>
      </c>
      <c r="AR59" s="8">
        <v>100.47</v>
      </c>
      <c r="AS59" s="8">
        <v>0.0</v>
      </c>
      <c r="AT59" s="8">
        <v>0.0</v>
      </c>
      <c r="AU59" s="8"/>
      <c r="AV59" s="8"/>
    </row>
    <row r="60" ht="15.75" customHeight="1">
      <c r="A60" s="8" t="s">
        <v>700</v>
      </c>
      <c r="B60" s="8" t="s">
        <v>701</v>
      </c>
      <c r="C60" s="8" t="s">
        <v>702</v>
      </c>
      <c r="D60" s="8" t="s">
        <v>298</v>
      </c>
      <c r="E60" s="8" t="s">
        <v>703</v>
      </c>
      <c r="F60" s="9" t="s">
        <v>300</v>
      </c>
      <c r="G60" s="8">
        <v>1.0</v>
      </c>
      <c r="H60" s="8" t="s">
        <v>301</v>
      </c>
      <c r="I60" s="8" t="s">
        <v>71</v>
      </c>
      <c r="J60" s="10">
        <v>45981.76861111111</v>
      </c>
      <c r="K60" s="10">
        <v>45980.249247685184</v>
      </c>
      <c r="L60" s="11">
        <v>45981.0</v>
      </c>
      <c r="M60" s="11">
        <v>45980.0</v>
      </c>
      <c r="N60" s="12">
        <v>0.7686111111111111</v>
      </c>
      <c r="O60" s="12">
        <v>0.2492476851851852</v>
      </c>
      <c r="P60" s="13">
        <v>45982.0</v>
      </c>
      <c r="Q60" s="8" t="s">
        <v>704</v>
      </c>
      <c r="R60" s="8" t="s">
        <v>73</v>
      </c>
      <c r="S60" s="8">
        <v>104.99</v>
      </c>
      <c r="T60" s="8">
        <v>4.99</v>
      </c>
      <c r="U60" s="8">
        <v>109.98</v>
      </c>
      <c r="V60" s="8" t="s">
        <v>705</v>
      </c>
      <c r="W60" s="8" t="s">
        <v>706</v>
      </c>
      <c r="X60" s="8" t="s">
        <v>707</v>
      </c>
      <c r="Z60" s="8">
        <f>19168658136</f>
        <v>19168658136</v>
      </c>
      <c r="AA60" s="8" t="s">
        <v>708</v>
      </c>
      <c r="AB60" s="8" t="s">
        <v>58</v>
      </c>
      <c r="AC60" s="8" t="s">
        <v>59</v>
      </c>
      <c r="AD60" s="8">
        <v>95630.0</v>
      </c>
      <c r="AE60" s="8" t="s">
        <v>59</v>
      </c>
      <c r="AF60" s="8" t="s">
        <v>58</v>
      </c>
      <c r="AG60" s="8" t="s">
        <v>308</v>
      </c>
      <c r="AH60" s="8" t="s">
        <v>709</v>
      </c>
      <c r="AI60" s="8">
        <v>70.15</v>
      </c>
      <c r="AK60" s="8" t="s">
        <v>310</v>
      </c>
      <c r="AM60" s="8">
        <v>1.0</v>
      </c>
      <c r="AN60" s="8">
        <v>23.33</v>
      </c>
      <c r="AO60" s="8">
        <v>586.0</v>
      </c>
      <c r="AP60" s="8" t="s">
        <v>678</v>
      </c>
      <c r="AQ60" s="8" t="s">
        <v>679</v>
      </c>
      <c r="AR60" s="8">
        <v>39.83</v>
      </c>
      <c r="AS60" s="8">
        <v>0.0</v>
      </c>
      <c r="AT60" s="8">
        <v>0.0</v>
      </c>
      <c r="AU60" s="8"/>
      <c r="AV60" s="8"/>
    </row>
    <row r="61" ht="15.75" customHeight="1">
      <c r="A61" s="8" t="s">
        <v>710</v>
      </c>
      <c r="B61" s="8" t="s">
        <v>711</v>
      </c>
      <c r="C61" s="8" t="s">
        <v>405</v>
      </c>
      <c r="D61" s="8" t="s">
        <v>298</v>
      </c>
      <c r="E61" s="8" t="s">
        <v>406</v>
      </c>
      <c r="F61" s="9" t="s">
        <v>300</v>
      </c>
      <c r="G61" s="8">
        <v>1.0</v>
      </c>
      <c r="H61" s="8" t="s">
        <v>301</v>
      </c>
      <c r="I61" s="8" t="s">
        <v>71</v>
      </c>
      <c r="J61" s="10">
        <v>45981.76861111111</v>
      </c>
      <c r="K61" s="10">
        <v>45980.25005787037</v>
      </c>
      <c r="L61" s="11">
        <v>45981.0</v>
      </c>
      <c r="M61" s="11">
        <v>45980.0</v>
      </c>
      <c r="N61" s="12">
        <v>0.7686111111111111</v>
      </c>
      <c r="O61" s="12">
        <v>0.25005787037037036</v>
      </c>
      <c r="P61" s="13">
        <v>45982.0</v>
      </c>
      <c r="Q61" s="8" t="s">
        <v>712</v>
      </c>
      <c r="R61" s="8" t="s">
        <v>73</v>
      </c>
      <c r="S61" s="8">
        <v>59.99</v>
      </c>
      <c r="T61" s="8">
        <v>4.99</v>
      </c>
      <c r="U61" s="8">
        <v>64.98</v>
      </c>
      <c r="V61" s="8" t="s">
        <v>713</v>
      </c>
      <c r="W61" s="8" t="s">
        <v>714</v>
      </c>
      <c r="X61" s="8" t="s">
        <v>715</v>
      </c>
      <c r="Z61" s="8">
        <f>18043382399</f>
        <v>18043382399</v>
      </c>
      <c r="AA61" s="8" t="s">
        <v>716</v>
      </c>
      <c r="AB61" s="8" t="s">
        <v>717</v>
      </c>
      <c r="AC61" s="8" t="s">
        <v>59</v>
      </c>
      <c r="AD61" s="8">
        <v>23236.0</v>
      </c>
      <c r="AE61" s="8" t="s">
        <v>59</v>
      </c>
      <c r="AF61" s="8" t="s">
        <v>717</v>
      </c>
      <c r="AG61" s="8" t="s">
        <v>308</v>
      </c>
      <c r="AH61" s="8" t="s">
        <v>718</v>
      </c>
      <c r="AI61" s="8">
        <v>42.11</v>
      </c>
      <c r="AK61" s="8" t="s">
        <v>310</v>
      </c>
      <c r="AM61" s="8">
        <v>1.0</v>
      </c>
      <c r="AN61" s="8">
        <v>13.12</v>
      </c>
      <c r="AO61" s="8">
        <v>586.0</v>
      </c>
      <c r="AP61" s="8" t="s">
        <v>678</v>
      </c>
      <c r="AQ61" s="8" t="s">
        <v>679</v>
      </c>
      <c r="AR61" s="8">
        <v>22.87</v>
      </c>
      <c r="AS61" s="8">
        <v>0.0</v>
      </c>
      <c r="AT61" s="8">
        <v>0.0</v>
      </c>
      <c r="AU61" s="8"/>
      <c r="AV61" s="8"/>
    </row>
    <row r="62" ht="15.75" customHeight="1">
      <c r="A62" s="8" t="s">
        <v>719</v>
      </c>
      <c r="B62" s="8" t="s">
        <v>720</v>
      </c>
      <c r="C62" s="8" t="s">
        <v>432</v>
      </c>
      <c r="D62" s="8" t="s">
        <v>298</v>
      </c>
      <c r="E62" s="8" t="s">
        <v>433</v>
      </c>
      <c r="F62" s="9" t="s">
        <v>721</v>
      </c>
      <c r="G62" s="8">
        <v>1.0</v>
      </c>
      <c r="H62" s="8" t="s">
        <v>301</v>
      </c>
      <c r="I62" s="8" t="s">
        <v>71</v>
      </c>
      <c r="J62" s="10">
        <v>45981.76861111111</v>
      </c>
      <c r="K62" s="10">
        <v>45980.25041666667</v>
      </c>
      <c r="L62" s="11">
        <v>45981.0</v>
      </c>
      <c r="M62" s="11">
        <v>45980.0</v>
      </c>
      <c r="N62" s="12">
        <v>0.7686111111111111</v>
      </c>
      <c r="O62" s="12">
        <v>0.2504166666666667</v>
      </c>
      <c r="P62" s="13">
        <v>45982.0</v>
      </c>
      <c r="Q62" s="8" t="s">
        <v>722</v>
      </c>
      <c r="R62" s="8" t="s">
        <v>73</v>
      </c>
      <c r="S62" s="8">
        <v>59.99</v>
      </c>
      <c r="T62" s="8">
        <v>4.99</v>
      </c>
      <c r="U62" s="8">
        <v>64.98</v>
      </c>
      <c r="V62" s="8" t="s">
        <v>723</v>
      </c>
      <c r="W62" s="8" t="s">
        <v>724</v>
      </c>
      <c r="X62" s="8" t="s">
        <v>725</v>
      </c>
      <c r="AA62" s="8" t="s">
        <v>726</v>
      </c>
      <c r="AB62" s="8" t="s">
        <v>534</v>
      </c>
      <c r="AC62" s="8" t="s">
        <v>59</v>
      </c>
      <c r="AD62" s="8">
        <v>30041.0</v>
      </c>
      <c r="AE62" s="8" t="s">
        <v>59</v>
      </c>
      <c r="AF62" s="8" t="s">
        <v>534</v>
      </c>
      <c r="AG62" s="8" t="s">
        <v>308</v>
      </c>
      <c r="AH62" s="8" t="s">
        <v>727</v>
      </c>
      <c r="AI62" s="8">
        <v>42.11</v>
      </c>
      <c r="AK62" s="8" t="s">
        <v>310</v>
      </c>
      <c r="AM62" s="8">
        <v>1.0</v>
      </c>
      <c r="AN62" s="8">
        <v>13.12</v>
      </c>
      <c r="AO62" s="8">
        <v>591.0</v>
      </c>
      <c r="AP62" s="8" t="s">
        <v>62</v>
      </c>
      <c r="AQ62" s="8" t="s">
        <v>63</v>
      </c>
      <c r="AR62" s="8">
        <v>22.87</v>
      </c>
      <c r="AS62" s="8">
        <v>0.0</v>
      </c>
      <c r="AT62" s="8">
        <v>0.0</v>
      </c>
      <c r="AU62" s="8"/>
      <c r="AV62" s="8"/>
    </row>
    <row r="63" ht="15.75" customHeight="1">
      <c r="A63" s="8" t="s">
        <v>728</v>
      </c>
      <c r="B63" s="8" t="s">
        <v>729</v>
      </c>
      <c r="C63" s="8" t="s">
        <v>473</v>
      </c>
      <c r="D63" s="8" t="s">
        <v>298</v>
      </c>
      <c r="E63" s="8" t="s">
        <v>474</v>
      </c>
      <c r="F63" s="9" t="s">
        <v>300</v>
      </c>
      <c r="G63" s="8">
        <v>1.0</v>
      </c>
      <c r="H63" s="8" t="s">
        <v>301</v>
      </c>
      <c r="I63" s="8" t="s">
        <v>71</v>
      </c>
      <c r="J63" s="10">
        <v>45981.76861111111</v>
      </c>
      <c r="K63" s="10">
        <v>45980.25042824074</v>
      </c>
      <c r="L63" s="11">
        <v>45981.0</v>
      </c>
      <c r="M63" s="11">
        <v>45980.0</v>
      </c>
      <c r="N63" s="12">
        <v>0.7686111111111111</v>
      </c>
      <c r="O63" s="12">
        <v>0.2504282407407407</v>
      </c>
      <c r="P63" s="13">
        <v>45982.0</v>
      </c>
      <c r="Q63" s="8" t="s">
        <v>730</v>
      </c>
      <c r="R63" s="8" t="s">
        <v>73</v>
      </c>
      <c r="S63" s="8">
        <v>59.99</v>
      </c>
      <c r="T63" s="8">
        <v>4.99</v>
      </c>
      <c r="U63" s="8">
        <v>64.98</v>
      </c>
      <c r="V63" s="8" t="s">
        <v>731</v>
      </c>
      <c r="W63" s="8" t="s">
        <v>732</v>
      </c>
      <c r="X63" s="8" t="s">
        <v>733</v>
      </c>
      <c r="Y63" s="8">
        <v>1419.0</v>
      </c>
      <c r="Z63" s="8">
        <f>12165701271</f>
        <v>12165701271</v>
      </c>
      <c r="AA63" s="8" t="s">
        <v>734</v>
      </c>
      <c r="AB63" s="8" t="s">
        <v>153</v>
      </c>
      <c r="AC63" s="8" t="s">
        <v>59</v>
      </c>
      <c r="AD63" s="8">
        <v>33160.0</v>
      </c>
      <c r="AE63" s="8" t="s">
        <v>59</v>
      </c>
      <c r="AF63" s="8" t="s">
        <v>153</v>
      </c>
      <c r="AG63" s="8" t="s">
        <v>308</v>
      </c>
      <c r="AH63" s="8" t="s">
        <v>735</v>
      </c>
      <c r="AI63" s="8">
        <v>42.11</v>
      </c>
      <c r="AK63" s="8" t="s">
        <v>310</v>
      </c>
      <c r="AM63" s="8">
        <v>1.0</v>
      </c>
      <c r="AN63" s="8">
        <v>13.12</v>
      </c>
      <c r="AO63" s="8">
        <v>586.0</v>
      </c>
      <c r="AP63" s="8" t="s">
        <v>678</v>
      </c>
      <c r="AQ63" s="8" t="s">
        <v>679</v>
      </c>
      <c r="AR63" s="8">
        <v>22.87</v>
      </c>
      <c r="AS63" s="8">
        <v>0.0</v>
      </c>
      <c r="AT63" s="8">
        <v>0.0</v>
      </c>
      <c r="AU63" s="8"/>
      <c r="AV63" s="8"/>
    </row>
    <row r="64" ht="15.75" customHeight="1">
      <c r="A64" s="8" t="s">
        <v>736</v>
      </c>
      <c r="B64" s="8" t="s">
        <v>737</v>
      </c>
      <c r="C64" s="8" t="s">
        <v>738</v>
      </c>
      <c r="D64" s="8" t="s">
        <v>739</v>
      </c>
      <c r="E64" s="8" t="s">
        <v>740</v>
      </c>
      <c r="F64" s="9" t="s">
        <v>741</v>
      </c>
      <c r="G64" s="8">
        <v>1.0</v>
      </c>
      <c r="H64" s="8" t="s">
        <v>742</v>
      </c>
      <c r="I64" s="8" t="s">
        <v>71</v>
      </c>
      <c r="J64" s="10">
        <v>45981.768796296295</v>
      </c>
      <c r="K64" s="10">
        <v>45980.25078703704</v>
      </c>
      <c r="L64" s="11">
        <v>45981.0</v>
      </c>
      <c r="M64" s="11">
        <v>45980.0</v>
      </c>
      <c r="N64" s="12">
        <v>0.7687962962962963</v>
      </c>
      <c r="O64" s="12">
        <v>0.25078703703703703</v>
      </c>
      <c r="P64" s="13">
        <v>45982.0</v>
      </c>
      <c r="Q64" s="8" t="s">
        <v>743</v>
      </c>
      <c r="R64" s="8" t="s">
        <v>73</v>
      </c>
      <c r="S64" s="8">
        <v>14.98</v>
      </c>
      <c r="T64" s="8">
        <v>5.95</v>
      </c>
      <c r="U64" s="8">
        <v>20.93</v>
      </c>
      <c r="V64" s="8" t="s">
        <v>744</v>
      </c>
      <c r="W64" s="8" t="s">
        <v>745</v>
      </c>
      <c r="X64" s="8" t="s">
        <v>746</v>
      </c>
      <c r="Z64" s="8">
        <f>17149077906</f>
        <v>17149077906</v>
      </c>
      <c r="AA64" s="8" t="s">
        <v>747</v>
      </c>
      <c r="AB64" s="8" t="s">
        <v>748</v>
      </c>
      <c r="AC64" s="8" t="s">
        <v>59</v>
      </c>
      <c r="AD64" s="8">
        <v>29461.0</v>
      </c>
      <c r="AE64" s="8" t="s">
        <v>59</v>
      </c>
      <c r="AF64" s="8" t="s">
        <v>748</v>
      </c>
      <c r="AG64" s="8" t="s">
        <v>749</v>
      </c>
      <c r="AH64" s="8" t="s">
        <v>750</v>
      </c>
      <c r="AI64" s="8">
        <v>13.27</v>
      </c>
      <c r="AK64" s="8" t="s">
        <v>739</v>
      </c>
      <c r="AM64" s="8">
        <v>1.0</v>
      </c>
      <c r="AN64" s="8">
        <v>4.52</v>
      </c>
      <c r="AO64" s="8">
        <v>591.0</v>
      </c>
      <c r="AP64" s="8" t="s">
        <v>62</v>
      </c>
      <c r="AQ64" s="8" t="s">
        <v>63</v>
      </c>
      <c r="AR64" s="8">
        <v>7.66</v>
      </c>
      <c r="AS64" s="8">
        <v>0.0</v>
      </c>
      <c r="AT64" s="8">
        <v>0.0</v>
      </c>
      <c r="AU64" s="8"/>
      <c r="AV64" s="8"/>
    </row>
    <row r="65" ht="15.75" customHeight="1">
      <c r="A65" s="8" t="s">
        <v>751</v>
      </c>
      <c r="B65" s="8" t="s">
        <v>752</v>
      </c>
      <c r="C65" s="8" t="s">
        <v>229</v>
      </c>
      <c r="D65" s="8" t="s">
        <v>171</v>
      </c>
      <c r="E65" s="8" t="s">
        <v>230</v>
      </c>
      <c r="F65" s="9" t="s">
        <v>173</v>
      </c>
      <c r="G65" s="8">
        <v>1.0</v>
      </c>
      <c r="H65" s="8" t="s">
        <v>174</v>
      </c>
      <c r="I65" s="8" t="s">
        <v>71</v>
      </c>
      <c r="J65" s="10">
        <v>45981.76892361111</v>
      </c>
      <c r="K65" s="10">
        <v>45980.25363425926</v>
      </c>
      <c r="L65" s="11">
        <v>45981.0</v>
      </c>
      <c r="M65" s="11">
        <v>45980.0</v>
      </c>
      <c r="N65" s="12">
        <v>0.7689236111111111</v>
      </c>
      <c r="O65" s="12">
        <v>0.25363425925925925</v>
      </c>
      <c r="P65" s="13">
        <v>45982.0</v>
      </c>
      <c r="Q65" s="8" t="s">
        <v>753</v>
      </c>
      <c r="R65" s="8" t="s">
        <v>73</v>
      </c>
      <c r="S65" s="8">
        <v>49.88</v>
      </c>
      <c r="T65" s="8">
        <v>4.99</v>
      </c>
      <c r="U65" s="8">
        <v>54.87</v>
      </c>
      <c r="V65" s="8" t="s">
        <v>754</v>
      </c>
      <c r="W65" s="8" t="s">
        <v>755</v>
      </c>
      <c r="X65" s="8" t="s">
        <v>756</v>
      </c>
      <c r="AA65" s="8" t="s">
        <v>757</v>
      </c>
      <c r="AB65" s="8" t="s">
        <v>758</v>
      </c>
      <c r="AC65" s="8" t="s">
        <v>59</v>
      </c>
      <c r="AD65" s="8">
        <v>1776.0</v>
      </c>
      <c r="AE65" s="8" t="s">
        <v>59</v>
      </c>
      <c r="AF65" s="8" t="s">
        <v>758</v>
      </c>
      <c r="AG65" s="8" t="s">
        <v>180</v>
      </c>
      <c r="AH65" s="8" t="s">
        <v>759</v>
      </c>
      <c r="AI65" s="8">
        <v>33.44</v>
      </c>
      <c r="AK65" s="8" t="s">
        <v>182</v>
      </c>
      <c r="AM65" s="8">
        <v>1.0</v>
      </c>
      <c r="AN65" s="8">
        <v>13.2</v>
      </c>
      <c r="AO65" s="8">
        <v>591.0</v>
      </c>
      <c r="AP65" s="8" t="s">
        <v>62</v>
      </c>
      <c r="AQ65" s="8" t="s">
        <v>63</v>
      </c>
      <c r="AR65" s="8">
        <v>21.43</v>
      </c>
      <c r="AS65" s="8">
        <v>0.0</v>
      </c>
      <c r="AT65" s="8">
        <v>0.0</v>
      </c>
      <c r="AU65" s="8"/>
      <c r="AV65" s="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</hyperlinks>
  <printOptions/>
  <pageMargins bottom="0.75" footer="0.0" header="0.0" left="0.7" right="0.7" top="0.75"/>
  <pageSetup orientation="landscape"/>
  <drawing r:id="rId65"/>
</worksheet>
</file>